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ggom\Desktop\Oil&amp;Gas\"/>
    </mc:Choice>
  </mc:AlternateContent>
  <xr:revisionPtr revIDLastSave="0" documentId="13_ncr:1_{FB182C0F-E4EA-497B-832D-CDB9B617A5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ump" sheetId="1" r:id="rId1"/>
    <sheet name="Mo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6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Desheng Zhou</author>
  </authors>
  <commentList>
    <comment ref="W1" authorId="0" shapeId="0" xr:uid="{87079F03-A3FD-4B37-9424-7C98AD871E3A}">
      <text>
        <r>
          <rPr>
            <b/>
            <sz val="10"/>
            <color indexed="81"/>
            <rFont val="Tahoma"/>
            <family val="2"/>
          </rPr>
          <t>Standard housing burst pressure.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X1" authorId="0" shapeId="0" xr:uid="{E34BBC8F-3A2D-4AD2-BF91-835BEB2CF210}">
      <text>
        <r>
          <rPr>
            <b/>
            <sz val="10"/>
            <color indexed="81"/>
            <rFont val="Tahoma"/>
            <family val="2"/>
          </rPr>
          <t>High strength housing burst pressure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Z1" authorId="0" shapeId="0" xr:uid="{5C708F7F-426E-4CA5-9B5F-33C47DE5D6C6}">
      <text>
        <r>
          <rPr>
            <b/>
            <sz val="10"/>
            <color indexed="81"/>
            <rFont val="Tahoma"/>
            <family val="2"/>
          </rPr>
          <t>Standard shaft power limit.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A1" authorId="0" shapeId="0" xr:uid="{455C04CB-CD54-42B8-8FAF-F67D3FFCEDC4}">
      <text>
        <r>
          <rPr>
            <b/>
            <sz val="10"/>
            <color indexed="81"/>
            <rFont val="Tahoma"/>
            <family val="2"/>
          </rPr>
          <t>High strength shaft power limit.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B1" authorId="0" shapeId="0" xr:uid="{8710D119-DB82-4A9D-9B4D-949D9F35AE93}">
      <text>
        <r>
          <rPr>
            <b/>
            <sz val="10"/>
            <color indexed="81"/>
            <rFont val="Tahoma"/>
            <family val="2"/>
          </rPr>
          <t>Minimum stage number in a single house.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C1" authorId="0" shapeId="0" xr:uid="{D00F90F0-5350-4D49-B42B-8F362CD1D20A}">
      <text>
        <r>
          <rPr>
            <b/>
            <sz val="10"/>
            <color indexed="81"/>
            <rFont val="Tahoma"/>
            <family val="2"/>
          </rPr>
          <t>Maximum stage number in the largest housing.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D1" authorId="0" shapeId="0" xr:uid="{ACE56993-9C20-4D1D-A5C8-9F4A42238210}">
      <text>
        <r>
          <rPr>
            <b/>
            <sz val="10"/>
            <color indexed="81"/>
            <rFont val="Tahoma"/>
            <family val="2"/>
            <charset val="204"/>
          </rPr>
          <t>Minimum stage increase number.</t>
        </r>
        <r>
          <rPr>
            <sz val="10"/>
            <color indexed="81"/>
            <rFont val="Tahoma"/>
            <family val="2"/>
            <charset val="204"/>
          </rPr>
          <t xml:space="preserve">
</t>
        </r>
      </text>
    </comment>
    <comment ref="AE1" authorId="0" shapeId="0" xr:uid="{1B0FA11E-5ADF-407C-8D82-A189E2B5009A}">
      <text>
        <r>
          <rPr>
            <b/>
            <sz val="10"/>
            <color indexed="81"/>
            <rFont val="Tahoma"/>
            <family val="2"/>
            <charset val="204"/>
          </rPr>
          <t>Maximum thrust limit at no flow per stage.</t>
        </r>
        <r>
          <rPr>
            <sz val="10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Desheng</author>
    <author>Desheng Zhou</author>
  </authors>
  <commentList>
    <comment ref="H1" authorId="0" shapeId="0" xr:uid="{3C6623A1-B500-4579-BC81-1E22FC27C973}">
      <text>
        <r>
          <rPr>
            <b/>
            <sz val="10"/>
            <color indexed="81"/>
            <rFont val="Tahoma"/>
            <family val="2"/>
            <charset val="204"/>
          </rPr>
          <t>RPM Coefficients:     R0, R1, R2, R3, R4, R5.</t>
        </r>
        <r>
          <rPr>
            <sz val="10"/>
            <color indexed="81"/>
            <rFont val="Tahoma"/>
            <family val="2"/>
            <charset val="204"/>
          </rPr>
          <t xml:space="preserve">
</t>
        </r>
      </text>
    </comment>
    <comment ref="N1" authorId="0" shapeId="0" xr:uid="{2FE5C2EE-F889-45F9-87EA-D7EA953DB238}">
      <text>
        <r>
          <rPr>
            <b/>
            <sz val="10"/>
            <color indexed="81"/>
            <rFont val="Tahoma"/>
            <family val="2"/>
            <charset val="204"/>
          </rPr>
          <t xml:space="preserve">% NP Amps Coefficients: A0, A1, A2, A3, A4, A5.
</t>
        </r>
      </text>
    </comment>
    <comment ref="T1" authorId="0" shapeId="0" xr:uid="{7076E070-86AB-4709-B273-40942F58E2F1}">
      <text>
        <r>
          <rPr>
            <b/>
            <sz val="10"/>
            <color indexed="81"/>
            <rFont val="Tahoma"/>
            <family val="2"/>
            <charset val="204"/>
          </rPr>
          <t xml:space="preserve">Power Factor Coefficients:
P0, P1, P2, P3, P4, P5.
</t>
        </r>
      </text>
    </comment>
    <comment ref="Z1" authorId="0" shapeId="0" xr:uid="{F119BDA4-DF97-46C3-A6F0-566A7970C439}">
      <text>
        <r>
          <rPr>
            <b/>
            <sz val="10"/>
            <color indexed="81"/>
            <rFont val="Tahoma"/>
            <family val="2"/>
            <charset val="204"/>
          </rPr>
          <t xml:space="preserve">Efficiency Coefficients:
E0, E1, E2, E3, E4, E5.
 </t>
        </r>
      </text>
    </comment>
    <comment ref="AF1" authorId="1" shapeId="0" xr:uid="{0BAC7E8A-99A2-463F-9380-716515847778}">
      <text>
        <r>
          <rPr>
            <b/>
            <sz val="10"/>
            <color indexed="81"/>
            <rFont val="Tahoma"/>
            <family val="2"/>
          </rPr>
          <t xml:space="preserve">Motor OD
If a manufacturer is not in SubPUMP databank, motor OD needs to be entered.
Manufacturers in SubPUMP:
Alnas
Borets
Borets_DC or BrtDC
CAI
Centrilift/ODI or CLift
ESP
Novomet or Novo
ODI
Schlumberger/Reda or Reda
Weatherford or Wford
WSP
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G1" authorId="1" shapeId="0" xr:uid="{CA1F6622-4861-4E2E-A34B-AE6DA6B8B4C9}">
      <text>
        <r>
          <rPr>
            <b/>
            <sz val="10"/>
            <color indexed="81"/>
            <rFont val="Tahoma"/>
            <family val="2"/>
          </rPr>
          <t>Rotation per minute at 100% load.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H1" authorId="1" shapeId="0" xr:uid="{AE879C66-4766-4CBF-B3D2-0E6D36AFC967}">
      <text>
        <r>
          <rPr>
            <b/>
            <sz val="10"/>
            <color indexed="81"/>
            <rFont val="Tahoma"/>
            <family val="2"/>
          </rPr>
          <t>Shaft horsepower.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I1" authorId="1" shapeId="0" xr:uid="{787B7720-2F0C-4678-90CE-001095E1D837}">
      <text>
        <r>
          <rPr>
            <b/>
            <sz val="10"/>
            <color indexed="81"/>
            <rFont val="Tahoma"/>
            <family val="2"/>
            <charset val="204"/>
          </rPr>
          <t>Enter:
S for Single;
D for Double:
T for Triple.</t>
        </r>
        <r>
          <rPr>
            <sz val="10"/>
            <color indexed="81"/>
            <rFont val="Tahoma"/>
            <family val="2"/>
          </rPr>
          <t xml:space="preserve">
</t>
        </r>
      </text>
    </comment>
    <comment ref="AJ1" authorId="1" shapeId="0" xr:uid="{39CD0CC5-A133-436C-9F2A-073DEE3B244B}">
      <text>
        <r>
          <rPr>
            <b/>
            <sz val="10"/>
            <color indexed="81"/>
            <rFont val="Tahoma"/>
            <family val="2"/>
            <charset val="204"/>
          </rPr>
          <t>Enter:
1 for Obsolete.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<sst xmlns="http://schemas.openxmlformats.org/spreadsheetml/2006/main" count="643" uniqueCount="154">
  <si>
    <t>Manufacturer</t>
  </si>
  <si>
    <t>Series</t>
  </si>
  <si>
    <t>Type</t>
  </si>
  <si>
    <t>Motor Length</t>
  </si>
  <si>
    <t>Nameplate HP</t>
  </si>
  <si>
    <t>Nameplate Voltage</t>
  </si>
  <si>
    <t>Nameplate Current</t>
  </si>
  <si>
    <t>R0</t>
  </si>
  <si>
    <t>R1</t>
  </si>
  <si>
    <t>R2</t>
  </si>
  <si>
    <t>R3</t>
  </si>
  <si>
    <t>R4</t>
  </si>
  <si>
    <t>R5</t>
  </si>
  <si>
    <t>A0</t>
  </si>
  <si>
    <t>A1</t>
  </si>
  <si>
    <t>A2</t>
  </si>
  <si>
    <t>A3</t>
  </si>
  <si>
    <t>A4</t>
  </si>
  <si>
    <t>A5</t>
  </si>
  <si>
    <t>P0</t>
  </si>
  <si>
    <t>P1</t>
  </si>
  <si>
    <t>P2</t>
  </si>
  <si>
    <t>P3</t>
  </si>
  <si>
    <t>P4</t>
  </si>
  <si>
    <t>P5</t>
  </si>
  <si>
    <t>E0</t>
  </si>
  <si>
    <t>E1</t>
  </si>
  <si>
    <t>E2</t>
  </si>
  <si>
    <t>E3</t>
  </si>
  <si>
    <t>E4</t>
  </si>
  <si>
    <t>E5</t>
  </si>
  <si>
    <t>Diameter</t>
  </si>
  <si>
    <t>RPM</t>
  </si>
  <si>
    <t>Shaft HP</t>
  </si>
  <si>
    <t>Configuration</t>
  </si>
  <si>
    <t>Obsolete</t>
  </si>
  <si>
    <t>WSP</t>
  </si>
  <si>
    <t>560</t>
  </si>
  <si>
    <t>XT1-S</t>
  </si>
  <si>
    <t>S</t>
  </si>
  <si>
    <t>456</t>
  </si>
  <si>
    <t>XT2-S</t>
  </si>
  <si>
    <t>XT1-T</t>
  </si>
  <si>
    <t>XT1-D</t>
  </si>
  <si>
    <t>550</t>
  </si>
  <si>
    <t>XT1</t>
  </si>
  <si>
    <t>XT1-s</t>
  </si>
  <si>
    <t>D</t>
  </si>
  <si>
    <t>460</t>
  </si>
  <si>
    <t>PMM HV</t>
  </si>
  <si>
    <t>PMM LV</t>
  </si>
  <si>
    <t>PMM</t>
  </si>
  <si>
    <t>XT3-T</t>
  </si>
  <si>
    <t>T</t>
  </si>
  <si>
    <t>Model</t>
  </si>
  <si>
    <t>Min Rate</t>
  </si>
  <si>
    <t>BEP Rate</t>
  </si>
  <si>
    <t>Max Rate</t>
  </si>
  <si>
    <t>Max Efficiency</t>
  </si>
  <si>
    <t>Max Head</t>
  </si>
  <si>
    <t>Max Graph Rate</t>
  </si>
  <si>
    <t>H0</t>
  </si>
  <si>
    <t>H1</t>
  </si>
  <si>
    <t>H2</t>
  </si>
  <si>
    <t>H3</t>
  </si>
  <si>
    <t>H4</t>
  </si>
  <si>
    <t>H5</t>
  </si>
  <si>
    <t>Pump OD</t>
  </si>
  <si>
    <t>Standard Burst</t>
  </si>
  <si>
    <t>High Burst</t>
  </si>
  <si>
    <t>Shaft OD</t>
  </si>
  <si>
    <t>Standard HP</t>
  </si>
  <si>
    <t>High HP</t>
  </si>
  <si>
    <t>Min Stages</t>
  </si>
  <si>
    <t>Max Stages</t>
  </si>
  <si>
    <t>Stage Increase</t>
  </si>
  <si>
    <t>Max Thrust</t>
  </si>
  <si>
    <t>338</t>
  </si>
  <si>
    <t>WA-550</t>
  </si>
  <si>
    <t>WA-900</t>
  </si>
  <si>
    <t>WA-1200</t>
  </si>
  <si>
    <t>WA-1500</t>
  </si>
  <si>
    <t>400</t>
  </si>
  <si>
    <t>WD-300</t>
  </si>
  <si>
    <t>WD-450</t>
  </si>
  <si>
    <t>WD-650</t>
  </si>
  <si>
    <t>WD-850</t>
  </si>
  <si>
    <t>WD-1000</t>
  </si>
  <si>
    <t>WD-1000MF</t>
  </si>
  <si>
    <t>WD-1300</t>
  </si>
  <si>
    <t>WD-1750</t>
  </si>
  <si>
    <t>WD-2150</t>
  </si>
  <si>
    <t>WD-3000</t>
  </si>
  <si>
    <t>WD-4300</t>
  </si>
  <si>
    <t>WD-6000</t>
  </si>
  <si>
    <t>513</t>
  </si>
  <si>
    <t>WG-1600</t>
  </si>
  <si>
    <t>WG-2000</t>
  </si>
  <si>
    <t>WG-2500</t>
  </si>
  <si>
    <t>WG-3200</t>
  </si>
  <si>
    <t>WG-4000</t>
  </si>
  <si>
    <t>WG-5600</t>
  </si>
  <si>
    <t>WG-10000</t>
  </si>
  <si>
    <t>538</t>
  </si>
  <si>
    <t>WE-1500R</t>
  </si>
  <si>
    <t>WE-1500</t>
  </si>
  <si>
    <t>WE-2600</t>
  </si>
  <si>
    <t>WE-3600</t>
  </si>
  <si>
    <t>WE-5500</t>
  </si>
  <si>
    <t>WE-7000</t>
  </si>
  <si>
    <t>WE-8500</t>
  </si>
  <si>
    <t>WE-11000</t>
  </si>
  <si>
    <t>WE-11000P</t>
  </si>
  <si>
    <t>562</t>
  </si>
  <si>
    <t>WH-15000</t>
  </si>
  <si>
    <t>WH-20000</t>
  </si>
  <si>
    <t>WH-30000</t>
  </si>
  <si>
    <t>675</t>
  </si>
  <si>
    <t>WJ-7500</t>
  </si>
  <si>
    <t>WJ-9000</t>
  </si>
  <si>
    <t>WJ-12000</t>
  </si>
  <si>
    <t>WJ-16000</t>
  </si>
  <si>
    <t>862</t>
  </si>
  <si>
    <t>WM-520A</t>
  </si>
  <si>
    <t>WM-520B</t>
  </si>
  <si>
    <t>WM-520C</t>
  </si>
  <si>
    <t>WM-675A</t>
  </si>
  <si>
    <t>WM-675B</t>
  </si>
  <si>
    <t>WM-675C</t>
  </si>
  <si>
    <t>950</t>
  </si>
  <si>
    <t>WN-1050A</t>
  </si>
  <si>
    <t>WN-1050B</t>
  </si>
  <si>
    <t>WN-1050C</t>
  </si>
  <si>
    <t>1000</t>
  </si>
  <si>
    <t>WP-1000A</t>
  </si>
  <si>
    <t>WP-1200A</t>
  </si>
  <si>
    <t>1100</t>
  </si>
  <si>
    <t>WQ-1800A</t>
  </si>
  <si>
    <t>WE1600</t>
  </si>
  <si>
    <t>WE5000</t>
  </si>
  <si>
    <t>WD1000ZX</t>
  </si>
  <si>
    <t>WA-2700</t>
  </si>
  <si>
    <t>SD-2500</t>
  </si>
  <si>
    <t>SD-650</t>
  </si>
  <si>
    <t>WE1500 HV</t>
  </si>
  <si>
    <t>WE-6500</t>
  </si>
  <si>
    <t>WE2700</t>
  </si>
  <si>
    <t>Novomet</t>
  </si>
  <si>
    <t>V4</t>
  </si>
  <si>
    <t>WD-600MF</t>
  </si>
  <si>
    <t>A</t>
  </si>
  <si>
    <t>Gas Handler</t>
  </si>
  <si>
    <t>B</t>
  </si>
  <si>
    <t>WE-8000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</si>
</sst>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000"/>
    <numFmt numFmtId="166" formatCode="0.000000E+00"/>
    <numFmt numFmtId="167" formatCode="0.00000"/>
    <numFmt numFmtId="168" formatCode="0.0%"/>
    <numFmt numFmtId="169" formatCode="0.0"/>
  </numFmts>
  <fonts count="1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10"/>
      <color indexed="81"/>
      <name val="Tahoma"/>
      <family val="2"/>
      <charset val="204"/>
    </font>
    <font>
      <sz val="10"/>
      <color indexed="81"/>
      <name val="Tahoma"/>
      <family val="2"/>
      <charset val="204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  <charset val="204"/>
    </font>
    <font>
      <sz val="12"/>
      <color indexed="8"/>
      <name val="굴림"/>
      <family val="2"/>
      <charset val="134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</cellStyleXfs>
  <cellXfs count="69">
    <xf numFmtId="0" fontId="0" fillId="0" borderId="0" xfId="0"/>
    <xf numFmtId="49" fontId="1" fillId="2" borderId="0" xfId="0" applyNumberFormat="1" applyFont="1" applyFill="1" applyAlignment="1" applyProtection="1">
      <alignment horizontal="center" vertical="center"/>
      <protection hidden="1"/>
    </xf>
    <xf numFmtId="2" fontId="1" fillId="2" borderId="0" xfId="0" applyNumberFormat="1" applyFont="1" applyFill="1" applyAlignment="1" applyProtection="1">
      <alignment horizontal="center" vertical="center"/>
      <protection hidden="1"/>
    </xf>
    <xf numFmtId="1" fontId="1" fillId="2" borderId="0" xfId="0" applyNumberFormat="1" applyFont="1" applyFill="1" applyAlignment="1" applyProtection="1">
      <alignment horizontal="center" vertical="center"/>
      <protection hidden="1"/>
    </xf>
    <xf numFmtId="165" fontId="1" fillId="2" borderId="0" xfId="0" applyNumberFormat="1" applyFont="1" applyFill="1" applyAlignment="1" applyProtection="1">
      <alignment horizontal="center" vertical="center"/>
      <protection hidden="1"/>
    </xf>
    <xf numFmtId="164" fontId="1" fillId="2" borderId="0" xfId="0" applyNumberFormat="1" applyFont="1" applyFill="1" applyAlignment="1" applyProtection="1">
      <alignment horizontal="center" vertical="center"/>
      <protection hidden="1"/>
    </xf>
    <xf numFmtId="11" fontId="1" fillId="2" borderId="0" xfId="0" applyNumberFormat="1" applyFont="1" applyFill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49" fontId="0" fillId="0" borderId="0" xfId="0" applyNumberFormat="1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center"/>
      <protection locked="0"/>
    </xf>
    <xf numFmtId="2" fontId="0" fillId="0" borderId="0" xfId="0" applyNumberFormat="1" applyAlignment="1" applyProtection="1">
      <alignment horizontal="right" vertical="center"/>
      <protection locked="0"/>
    </xf>
    <xf numFmtId="2" fontId="0" fillId="0" borderId="0" xfId="0" applyNumberFormat="1" applyAlignment="1" applyProtection="1">
      <alignment horizontal="center"/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166" fontId="2" fillId="0" borderId="0" xfId="0" applyNumberFormat="1" applyFont="1" applyAlignment="1" applyProtection="1">
      <alignment horizontal="right" vertical="center"/>
      <protection locked="0"/>
    </xf>
    <xf numFmtId="2" fontId="0" fillId="0" borderId="0" xfId="0" applyNumberFormat="1" applyAlignment="1" applyProtection="1">
      <alignment horizontal="right"/>
      <protection locked="0"/>
    </xf>
    <xf numFmtId="49" fontId="2" fillId="0" borderId="0" xfId="0" applyNumberFormat="1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49" fontId="3" fillId="0" borderId="0" xfId="0" applyNumberFormat="1" applyFon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 vertical="center"/>
      <protection locked="0"/>
    </xf>
    <xf numFmtId="165" fontId="0" fillId="0" borderId="0" xfId="0" applyNumberFormat="1" applyAlignment="1" applyProtection="1">
      <alignment horizontal="right" vertical="center"/>
      <protection locked="0"/>
    </xf>
    <xf numFmtId="164" fontId="0" fillId="0" borderId="0" xfId="0" applyNumberFormat="1" applyAlignment="1" applyProtection="1">
      <alignment horizontal="right" vertical="center"/>
      <protection locked="0"/>
    </xf>
    <xf numFmtId="11" fontId="0" fillId="0" borderId="0" xfId="0" applyNumberFormat="1" applyAlignment="1" applyProtection="1">
      <alignment horizontal="right" vertical="center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49" fontId="0" fillId="4" borderId="0" xfId="0" applyNumberFormat="1" applyFill="1" applyAlignment="1" applyProtection="1">
      <alignment horizontal="left" vertical="center"/>
      <protection locked="0"/>
    </xf>
    <xf numFmtId="49" fontId="0" fillId="4" borderId="0" xfId="0" applyNumberFormat="1" applyFill="1" applyAlignment="1" applyProtection="1">
      <alignment horizontal="center"/>
      <protection locked="0"/>
    </xf>
    <xf numFmtId="2" fontId="0" fillId="4" borderId="0" xfId="0" applyNumberFormat="1" applyFill="1" applyAlignment="1" applyProtection="1">
      <alignment horizontal="right" vertical="center"/>
      <protection locked="0"/>
    </xf>
    <xf numFmtId="2" fontId="0" fillId="4" borderId="0" xfId="0" applyNumberFormat="1" applyFill="1" applyAlignment="1" applyProtection="1">
      <alignment horizontal="center"/>
      <protection locked="0"/>
    </xf>
    <xf numFmtId="166" fontId="0" fillId="4" borderId="0" xfId="0" applyNumberFormat="1" applyFill="1" applyAlignment="1" applyProtection="1">
      <alignment horizontal="right" vertical="center"/>
      <protection locked="0"/>
    </xf>
    <xf numFmtId="166" fontId="2" fillId="4" borderId="0" xfId="0" applyNumberFormat="1" applyFont="1" applyFill="1" applyAlignment="1" applyProtection="1">
      <alignment horizontal="right" vertical="center"/>
      <protection locked="0"/>
    </xf>
    <xf numFmtId="2" fontId="0" fillId="4" borderId="0" xfId="0" applyNumberFormat="1" applyFill="1" applyAlignment="1" applyProtection="1">
      <alignment horizontal="right"/>
      <protection locked="0"/>
    </xf>
    <xf numFmtId="49" fontId="2" fillId="4" borderId="0" xfId="0" applyNumberFormat="1" applyFont="1" applyFill="1" applyAlignment="1" applyProtection="1">
      <alignment horizontal="center" vertical="center"/>
      <protection locked="0"/>
    </xf>
    <xf numFmtId="1" fontId="0" fillId="4" borderId="0" xfId="0" applyNumberFormat="1" applyFill="1" applyAlignment="1" applyProtection="1">
      <alignment horizontal="center"/>
      <protection locked="0"/>
    </xf>
    <xf numFmtId="49" fontId="2" fillId="0" borderId="0" xfId="0" applyNumberFormat="1" applyFont="1" applyAlignment="1" applyProtection="1">
      <alignment horizontal="left" vertical="center"/>
      <protection locked="0"/>
    </xf>
    <xf numFmtId="49" fontId="2" fillId="0" borderId="0" xfId="0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right" vertical="center"/>
      <protection locked="0"/>
    </xf>
    <xf numFmtId="2" fontId="2" fillId="0" borderId="0" xfId="0" applyNumberFormat="1" applyFont="1" applyAlignment="1" applyProtection="1">
      <alignment horizontal="center"/>
      <protection locked="0"/>
    </xf>
    <xf numFmtId="49" fontId="10" fillId="2" borderId="0" xfId="0" applyNumberFormat="1" applyFont="1" applyFill="1" applyAlignment="1">
      <alignment horizontal="center" vertical="center"/>
    </xf>
    <xf numFmtId="1" fontId="10" fillId="2" borderId="0" xfId="0" applyNumberFormat="1" applyFont="1" applyFill="1" applyAlignment="1">
      <alignment horizontal="center" vertical="center"/>
    </xf>
    <xf numFmtId="164" fontId="10" fillId="2" borderId="0" xfId="0" applyNumberFormat="1" applyFont="1" applyFill="1" applyAlignment="1">
      <alignment horizontal="center" vertical="center"/>
    </xf>
    <xf numFmtId="2" fontId="10" fillId="2" borderId="0" xfId="0" applyNumberFormat="1" applyFont="1" applyFill="1" applyAlignment="1">
      <alignment horizontal="center" vertical="center"/>
    </xf>
    <xf numFmtId="167" fontId="10" fillId="2" borderId="0" xfId="0" applyNumberFormat="1" applyFont="1" applyFill="1" applyAlignment="1">
      <alignment horizontal="center" vertical="center"/>
    </xf>
    <xf numFmtId="11" fontId="10" fillId="2" borderId="0" xfId="0" applyNumberFormat="1" applyFont="1" applyFill="1" applyAlignment="1">
      <alignment horizontal="center" vertical="center"/>
    </xf>
    <xf numFmtId="11" fontId="9" fillId="2" borderId="0" xfId="0" applyNumberFormat="1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49" fontId="3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164" fontId="0" fillId="0" borderId="0" xfId="0" applyNumberFormat="1" applyAlignment="1" applyProtection="1">
      <alignment horizontal="right"/>
      <protection locked="0"/>
    </xf>
    <xf numFmtId="11" fontId="8" fillId="0" borderId="0" xfId="0" applyNumberFormat="1" applyFon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1" fontId="0" fillId="0" borderId="2" xfId="0" applyNumberFormat="1" applyBorder="1" applyAlignment="1" applyProtection="1">
      <alignment horizontal="right" vertical="center"/>
      <protection locked="0"/>
    </xf>
    <xf numFmtId="168" fontId="0" fillId="0" borderId="0" xfId="2" applyNumberFormat="1" applyFont="1" applyAlignment="1" applyProtection="1">
      <alignment horizontal="right"/>
      <protection locked="0"/>
    </xf>
    <xf numFmtId="1" fontId="3" fillId="0" borderId="0" xfId="1" applyNumberFormat="1" applyAlignment="1" applyProtection="1">
      <alignment horizontal="right"/>
      <protection locked="0"/>
    </xf>
    <xf numFmtId="168" fontId="3" fillId="0" borderId="0" xfId="3" applyNumberFormat="1" applyFont="1" applyAlignment="1" applyProtection="1">
      <alignment horizontal="right"/>
      <protection locked="0"/>
    </xf>
    <xf numFmtId="2" fontId="3" fillId="0" borderId="0" xfId="1" applyNumberFormat="1" applyAlignment="1" applyProtection="1">
      <alignment horizontal="right"/>
      <protection locked="0"/>
    </xf>
    <xf numFmtId="11" fontId="3" fillId="0" borderId="0" xfId="1" applyNumberFormat="1" applyAlignment="1" applyProtection="1">
      <alignment horizontal="right" vertical="center"/>
      <protection locked="0"/>
    </xf>
    <xf numFmtId="2" fontId="3" fillId="0" borderId="0" xfId="1" applyNumberFormat="1" applyAlignment="1" applyProtection="1">
      <alignment horizontal="right" vertical="center"/>
      <protection locked="0"/>
    </xf>
    <xf numFmtId="164" fontId="3" fillId="0" borderId="0" xfId="1" applyNumberFormat="1" applyAlignment="1" applyProtection="1">
      <alignment horizontal="right" vertical="center"/>
      <protection locked="0"/>
    </xf>
    <xf numFmtId="49" fontId="3" fillId="7" borderId="0" xfId="0" applyNumberFormat="1" applyFont="1" applyFill="1" applyProtection="1">
      <protection locked="0"/>
    </xf>
    <xf numFmtId="49" fontId="0" fillId="7" borderId="0" xfId="0" applyNumberFormat="1" applyFill="1" applyProtection="1">
      <protection locked="0"/>
    </xf>
    <xf numFmtId="164" fontId="0" fillId="7" borderId="0" xfId="0" applyNumberFormat="1" applyFill="1" applyAlignment="1" applyProtection="1">
      <alignment horizontal="right"/>
      <protection locked="0"/>
    </xf>
    <xf numFmtId="2" fontId="0" fillId="7" borderId="0" xfId="0" applyNumberFormat="1" applyFill="1" applyAlignment="1" applyProtection="1">
      <alignment horizontal="right"/>
      <protection locked="0"/>
    </xf>
    <xf numFmtId="11" fontId="0" fillId="7" borderId="0" xfId="0" applyNumberFormat="1" applyFill="1" applyAlignment="1" applyProtection="1">
      <alignment horizontal="right" vertical="center"/>
      <protection locked="0"/>
    </xf>
    <xf numFmtId="2" fontId="0" fillId="7" borderId="0" xfId="0" applyNumberFormat="1" applyFill="1" applyAlignment="1" applyProtection="1">
      <alignment horizontal="right" vertical="center"/>
      <protection locked="0"/>
    </xf>
    <xf numFmtId="1" fontId="0" fillId="7" borderId="0" xfId="0" applyNumberFormat="1" applyFill="1" applyAlignment="1" applyProtection="1">
      <alignment horizontal="right"/>
      <protection locked="0"/>
    </xf>
    <xf numFmtId="0" fontId="0" fillId="0" borderId="0" xfId="0" applyAlignment="1" applyProtection="1">
      <alignment horizontal="center"/>
      <protection locked="0"/>
    </xf>
    <xf numFmtId="169" fontId="0" fillId="0" borderId="0" xfId="0" applyNumberFormat="1" applyAlignment="1" applyProtection="1">
      <alignment horizontal="right"/>
      <protection locked="0"/>
    </xf>
    <xf numFmtId="0" fontId="12" fillId="0" borderId="1" xfId="4" applyFont="1" applyBorder="1" applyAlignment="1" applyProtection="1">
      <alignment horizontal="center" wrapText="1"/>
      <protection locked="0"/>
    </xf>
  </cellXfs>
  <cellStyles count="5">
    <cellStyle name="Normal" xfId="0" builtinId="0"/>
    <cellStyle name="Normal 2" xfId="1" xr:uid="{2CA4D51B-EBC3-4ED1-952D-AFFBE930BAA0}"/>
    <cellStyle name="Porcentaje 2" xfId="2" xr:uid="{9D8C9AD7-4F2E-48FB-A777-34FCC8EA331D}"/>
    <cellStyle name="Porcentaje 3" xfId="3" xr:uid="{AC991A35-CC35-4114-84F2-19EDB4BAB49A}"/>
    <cellStyle name="표준_Sheet3" xfId="4" xr:uid="{69E7D99C-DFA4-41F3-AEBB-AF9793067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7"/>
  <sheetViews>
    <sheetView tabSelected="1" workbookViewId="0">
      <selection activeCell="D16" sqref="D16"/>
    </sheetView>
  </sheetViews>
  <sheetFormatPr defaultRowHeight="14.4" x14ac:dyDescent="0.3"/>
  <sheetData>
    <row r="1" spans="1:31" x14ac:dyDescent="0.3">
      <c r="A1" s="36" t="s">
        <v>0</v>
      </c>
      <c r="B1" s="36" t="s">
        <v>1</v>
      </c>
      <c r="C1" s="36" t="s">
        <v>54</v>
      </c>
      <c r="D1" s="37" t="s">
        <v>55</v>
      </c>
      <c r="E1" s="37" t="s">
        <v>56</v>
      </c>
      <c r="F1" s="37" t="s">
        <v>57</v>
      </c>
      <c r="G1" s="38" t="s">
        <v>58</v>
      </c>
      <c r="H1" s="39" t="s">
        <v>59</v>
      </c>
      <c r="I1" s="37" t="s">
        <v>60</v>
      </c>
      <c r="J1" s="40" t="s">
        <v>61</v>
      </c>
      <c r="K1" s="41" t="s">
        <v>62</v>
      </c>
      <c r="L1" s="41" t="s">
        <v>63</v>
      </c>
      <c r="M1" s="41" t="s">
        <v>64</v>
      </c>
      <c r="N1" s="41" t="s">
        <v>65</v>
      </c>
      <c r="O1" s="41" t="s">
        <v>66</v>
      </c>
      <c r="P1" s="42" t="s">
        <v>19</v>
      </c>
      <c r="Q1" s="42" t="s">
        <v>20</v>
      </c>
      <c r="R1" s="42" t="s">
        <v>21</v>
      </c>
      <c r="S1" s="42" t="s">
        <v>22</v>
      </c>
      <c r="T1" s="42" t="s">
        <v>23</v>
      </c>
      <c r="U1" s="42" t="s">
        <v>24</v>
      </c>
      <c r="V1" s="43" t="s">
        <v>67</v>
      </c>
      <c r="W1" s="44" t="s">
        <v>68</v>
      </c>
      <c r="X1" s="44" t="s">
        <v>69</v>
      </c>
      <c r="Y1" s="45" t="s">
        <v>70</v>
      </c>
      <c r="Z1" s="45" t="s">
        <v>71</v>
      </c>
      <c r="AA1" s="45" t="s">
        <v>72</v>
      </c>
      <c r="AB1" s="44" t="s">
        <v>73</v>
      </c>
      <c r="AC1" s="44" t="s">
        <v>74</v>
      </c>
      <c r="AD1" s="44" t="s">
        <v>75</v>
      </c>
      <c r="AE1" s="44" t="s">
        <v>76</v>
      </c>
    </row>
    <row r="2" spans="1:31" x14ac:dyDescent="0.3">
      <c r="A2" s="46" t="s">
        <v>36</v>
      </c>
      <c r="B2" s="46" t="s">
        <v>77</v>
      </c>
      <c r="C2" s="47" t="s">
        <v>78</v>
      </c>
      <c r="D2" s="48">
        <v>200</v>
      </c>
      <c r="E2" s="48">
        <v>552</v>
      </c>
      <c r="F2" s="48">
        <v>700</v>
      </c>
      <c r="G2" s="14">
        <v>0.53090878038887912</v>
      </c>
      <c r="H2" s="14">
        <v>22.604233000000001</v>
      </c>
      <c r="I2" s="14">
        <v>861</v>
      </c>
      <c r="J2" s="21">
        <v>22.604233000000001</v>
      </c>
      <c r="K2" s="21">
        <v>1.44601972E-2</v>
      </c>
      <c r="L2" s="21">
        <v>-1.3442894000000001E-4</v>
      </c>
      <c r="M2" s="21">
        <v>4.38053084E-7</v>
      </c>
      <c r="N2" s="21">
        <v>-6.8574703099999998E-10</v>
      </c>
      <c r="O2" s="21">
        <v>3.42561771E-13</v>
      </c>
      <c r="P2" s="49">
        <v>7.9637593399999998E-2</v>
      </c>
      <c r="Q2" s="49">
        <v>6.6497960499999994E-5</v>
      </c>
      <c r="R2" s="49">
        <v>7.9309888699999996E-7</v>
      </c>
      <c r="S2" s="49">
        <v>-2.3053559499999999E-9</v>
      </c>
      <c r="T2" s="49">
        <v>1.9430177999999999E-12</v>
      </c>
      <c r="U2" s="49">
        <v>-3.7484523400000002E-16</v>
      </c>
      <c r="V2" s="14">
        <v>3.38</v>
      </c>
      <c r="W2" s="10">
        <v>6000</v>
      </c>
      <c r="X2" s="10">
        <v>6000</v>
      </c>
      <c r="Y2" s="10">
        <v>0.625</v>
      </c>
      <c r="Z2" s="10">
        <v>150</v>
      </c>
      <c r="AA2" s="10">
        <v>188</v>
      </c>
      <c r="AB2" s="50">
        <v>16</v>
      </c>
      <c r="AC2" s="50">
        <v>190</v>
      </c>
      <c r="AD2" s="50">
        <v>19.3333333333333</v>
      </c>
      <c r="AE2" s="14">
        <v>5700</v>
      </c>
    </row>
    <row r="3" spans="1:31" x14ac:dyDescent="0.3">
      <c r="A3" s="46" t="s">
        <v>36</v>
      </c>
      <c r="B3" s="47" t="s">
        <v>77</v>
      </c>
      <c r="C3" s="47" t="s">
        <v>79</v>
      </c>
      <c r="D3" s="48">
        <v>350</v>
      </c>
      <c r="E3" s="48">
        <v>922</v>
      </c>
      <c r="F3" s="48">
        <v>1060</v>
      </c>
      <c r="G3" s="14">
        <v>0.55799181630488237</v>
      </c>
      <c r="H3" s="14">
        <v>21.785012699999999</v>
      </c>
      <c r="I3" s="14">
        <v>1450</v>
      </c>
      <c r="J3" s="21">
        <v>21.785012699999999</v>
      </c>
      <c r="K3" s="21">
        <v>-7.7830342400000002E-3</v>
      </c>
      <c r="L3" s="21">
        <v>-5.3186674099999997E-6</v>
      </c>
      <c r="M3" s="21">
        <v>2.82159516E-8</v>
      </c>
      <c r="N3" s="21">
        <v>-3.7108357000000003E-11</v>
      </c>
      <c r="O3" s="21">
        <v>1.2313062699999999E-14</v>
      </c>
      <c r="P3" s="49">
        <v>0.11031558900000001</v>
      </c>
      <c r="Q3" s="49">
        <v>1.04259843E-4</v>
      </c>
      <c r="R3" s="49">
        <v>-1.1081542E-7</v>
      </c>
      <c r="S3" s="49">
        <v>3.0809075500000002E-10</v>
      </c>
      <c r="T3" s="49">
        <v>-3.8885669400000002E-13</v>
      </c>
      <c r="U3" s="49">
        <v>1.3869641999999999E-16</v>
      </c>
      <c r="V3" s="14">
        <v>3.38</v>
      </c>
      <c r="W3" s="10">
        <v>6000</v>
      </c>
      <c r="X3" s="10">
        <v>6000</v>
      </c>
      <c r="Y3" s="10">
        <v>0.625</v>
      </c>
      <c r="Z3" s="10">
        <v>150</v>
      </c>
      <c r="AA3" s="10">
        <v>188</v>
      </c>
      <c r="AB3" s="50">
        <v>16</v>
      </c>
      <c r="AC3" s="50">
        <v>190</v>
      </c>
      <c r="AD3" s="50">
        <v>19.3333333333333</v>
      </c>
      <c r="AE3" s="14">
        <v>5700</v>
      </c>
    </row>
    <row r="4" spans="1:31" x14ac:dyDescent="0.3">
      <c r="A4" s="46" t="s">
        <v>36</v>
      </c>
      <c r="B4" s="47" t="s">
        <v>77</v>
      </c>
      <c r="C4" s="47" t="s">
        <v>80</v>
      </c>
      <c r="D4" s="48">
        <v>450</v>
      </c>
      <c r="E4" s="48">
        <v>1160</v>
      </c>
      <c r="F4" s="48">
        <v>1500</v>
      </c>
      <c r="G4" s="14">
        <v>0.55691000000000002</v>
      </c>
      <c r="H4" s="14">
        <v>22.14</v>
      </c>
      <c r="I4" s="14">
        <v>1810</v>
      </c>
      <c r="J4" s="21">
        <v>22.139900000000001</v>
      </c>
      <c r="K4" s="21">
        <v>-5.1185500000000004E-3</v>
      </c>
      <c r="L4" s="21">
        <v>6.71993E-7</v>
      </c>
      <c r="M4" s="21">
        <v>1.5616799999999999E-9</v>
      </c>
      <c r="N4" s="21">
        <v>-4.1918800000000001E-12</v>
      </c>
      <c r="O4" s="21">
        <v>1.1786000000000001E-15</v>
      </c>
      <c r="P4" s="49">
        <v>0.12457600000000001</v>
      </c>
      <c r="Q4" s="49">
        <v>-3.9732999999999997E-6</v>
      </c>
      <c r="R4" s="49">
        <v>5.6860700000000003E-7</v>
      </c>
      <c r="S4" s="49">
        <v>-8.3691199999999997E-10</v>
      </c>
      <c r="T4" s="49">
        <v>4.5461099999999999E-13</v>
      </c>
      <c r="U4" s="49">
        <v>-8.6123500000000006E-17</v>
      </c>
      <c r="V4" s="14">
        <v>3.38</v>
      </c>
      <c r="W4" s="10">
        <v>6000</v>
      </c>
      <c r="X4" s="10">
        <v>6000</v>
      </c>
      <c r="Y4" s="10">
        <v>0.625</v>
      </c>
      <c r="Z4" s="10">
        <v>150</v>
      </c>
      <c r="AA4" s="10">
        <v>188</v>
      </c>
      <c r="AB4" s="50">
        <v>13</v>
      </c>
      <c r="AC4" s="50">
        <v>156</v>
      </c>
      <c r="AD4" s="50">
        <v>15.888888888888886</v>
      </c>
      <c r="AE4" s="14">
        <v>5700</v>
      </c>
    </row>
    <row r="5" spans="1:31" x14ac:dyDescent="0.3">
      <c r="A5" s="46" t="s">
        <v>36</v>
      </c>
      <c r="B5" s="47" t="s">
        <v>77</v>
      </c>
      <c r="C5" s="47" t="s">
        <v>81</v>
      </c>
      <c r="D5" s="48">
        <v>500</v>
      </c>
      <c r="E5" s="48">
        <v>1630</v>
      </c>
      <c r="F5" s="48">
        <v>2000</v>
      </c>
      <c r="G5" s="14">
        <v>0.4759358186009901</v>
      </c>
      <c r="H5" s="14">
        <v>18.989899999999999</v>
      </c>
      <c r="I5" s="14">
        <v>2750</v>
      </c>
      <c r="J5" s="21">
        <v>18.989899999999999</v>
      </c>
      <c r="K5" s="21">
        <v>-2.0899999999999998E-3</v>
      </c>
      <c r="L5" s="21">
        <v>-1.4658100000000001E-6</v>
      </c>
      <c r="M5" s="21">
        <v>1.09507E-9</v>
      </c>
      <c r="N5" s="21">
        <v>-6.4090899999999997E-13</v>
      </c>
      <c r="O5" s="21">
        <v>8.71699E-17</v>
      </c>
      <c r="P5" s="49">
        <v>0.17513999999999999</v>
      </c>
      <c r="Q5" s="49">
        <v>4.6609500000000002E-5</v>
      </c>
      <c r="R5" s="49">
        <v>1.7945999999999999E-7</v>
      </c>
      <c r="S5" s="49">
        <v>-1.7248300000000001E-10</v>
      </c>
      <c r="T5" s="49">
        <v>6.1671499999999999E-14</v>
      </c>
      <c r="U5" s="49">
        <v>-7.9244700000000005E-18</v>
      </c>
      <c r="V5" s="14">
        <v>3.38</v>
      </c>
      <c r="W5" s="10">
        <v>6000</v>
      </c>
      <c r="X5" s="10">
        <v>6000</v>
      </c>
      <c r="Y5" s="10">
        <v>0.68799999999999994</v>
      </c>
      <c r="Z5" s="10">
        <v>200</v>
      </c>
      <c r="AA5" s="10">
        <v>250</v>
      </c>
      <c r="AB5" s="50">
        <v>10</v>
      </c>
      <c r="AC5" s="50">
        <v>123</v>
      </c>
      <c r="AD5" s="50">
        <v>12.555555555555543</v>
      </c>
      <c r="AE5" s="14">
        <v>5700</v>
      </c>
    </row>
    <row r="6" spans="1:31" x14ac:dyDescent="0.3">
      <c r="A6" s="46" t="s">
        <v>36</v>
      </c>
      <c r="B6" s="47" t="s">
        <v>82</v>
      </c>
      <c r="C6" s="47" t="s">
        <v>83</v>
      </c>
      <c r="D6" s="48">
        <v>100</v>
      </c>
      <c r="E6" s="48">
        <v>363</v>
      </c>
      <c r="F6" s="48">
        <v>450</v>
      </c>
      <c r="G6" s="14">
        <v>0.45787981689881946</v>
      </c>
      <c r="H6" s="14">
        <v>23.963439999999999</v>
      </c>
      <c r="I6" s="14">
        <v>600</v>
      </c>
      <c r="J6" s="21">
        <v>23.963439999999999</v>
      </c>
      <c r="K6" s="21">
        <v>-4.3400000000000001E-3</v>
      </c>
      <c r="L6" s="21">
        <v>9.7200000000000004E-5</v>
      </c>
      <c r="M6" s="21">
        <v>-6.6300000000000005E-7</v>
      </c>
      <c r="N6" s="21">
        <v>1.09E-9</v>
      </c>
      <c r="O6" s="21">
        <v>-6.2299999999999997E-13</v>
      </c>
      <c r="P6" s="21">
        <v>7.3010000000000005E-2</v>
      </c>
      <c r="Q6" s="21">
        <v>-4.8300000000000002E-5</v>
      </c>
      <c r="R6" s="21">
        <v>1.4699999999999999E-6</v>
      </c>
      <c r="S6" s="21">
        <v>-5.0199999999999996E-9</v>
      </c>
      <c r="T6" s="21">
        <v>7.0299999999999997E-12</v>
      </c>
      <c r="U6" s="21">
        <v>-3.7099999999999999E-15</v>
      </c>
      <c r="V6" s="14">
        <v>4</v>
      </c>
      <c r="W6" s="10">
        <v>6000</v>
      </c>
      <c r="X6" s="10">
        <v>6000</v>
      </c>
      <c r="Y6" s="10">
        <v>0.625</v>
      </c>
      <c r="Z6" s="10">
        <v>150</v>
      </c>
      <c r="AA6" s="10">
        <v>188</v>
      </c>
      <c r="AB6" s="50">
        <v>13</v>
      </c>
      <c r="AC6" s="50">
        <v>91</v>
      </c>
      <c r="AD6" s="50">
        <v>15.600000000000001</v>
      </c>
      <c r="AE6" s="14">
        <v>5700</v>
      </c>
    </row>
    <row r="7" spans="1:31" x14ac:dyDescent="0.3">
      <c r="A7" s="46" t="s">
        <v>36</v>
      </c>
      <c r="B7" s="47" t="s">
        <v>82</v>
      </c>
      <c r="C7" s="47" t="s">
        <v>84</v>
      </c>
      <c r="D7" s="48">
        <v>200</v>
      </c>
      <c r="E7" s="48">
        <v>455</v>
      </c>
      <c r="F7" s="48">
        <v>550</v>
      </c>
      <c r="G7" s="14">
        <v>0.43099999999999999</v>
      </c>
      <c r="H7" s="14">
        <v>28.14</v>
      </c>
      <c r="I7" s="14">
        <v>700</v>
      </c>
      <c r="J7" s="21">
        <v>28.141310000000001</v>
      </c>
      <c r="K7" s="21">
        <v>3.3128350000000001E-3</v>
      </c>
      <c r="L7" s="21">
        <v>-9.7034940000000004E-5</v>
      </c>
      <c r="M7" s="21">
        <v>1.971144E-7</v>
      </c>
      <c r="N7" s="21">
        <v>-2.747597E-10</v>
      </c>
      <c r="O7" s="21">
        <v>8.2934300000000002E-14</v>
      </c>
      <c r="P7" s="21">
        <v>0.1107467</v>
      </c>
      <c r="Q7" s="21">
        <v>-4.3816219999999997E-5</v>
      </c>
      <c r="R7" s="21">
        <v>1.099484E-6</v>
      </c>
      <c r="S7" s="21">
        <v>-2.400981E-9</v>
      </c>
      <c r="T7" s="21">
        <v>7.3250529999999999E-13</v>
      </c>
      <c r="U7" s="21">
        <v>8.1686039999999995E-16</v>
      </c>
      <c r="V7" s="14">
        <v>4</v>
      </c>
      <c r="W7" s="10">
        <v>6000</v>
      </c>
      <c r="X7" s="10">
        <v>6000</v>
      </c>
      <c r="Y7" s="10">
        <v>0.625</v>
      </c>
      <c r="Z7" s="10">
        <v>150</v>
      </c>
      <c r="AA7" s="10">
        <v>188</v>
      </c>
      <c r="AB7" s="50">
        <v>15</v>
      </c>
      <c r="AC7" s="50">
        <v>104</v>
      </c>
      <c r="AD7" s="50">
        <v>17.8</v>
      </c>
      <c r="AE7" s="14">
        <v>5700</v>
      </c>
    </row>
    <row r="8" spans="1:31" x14ac:dyDescent="0.3">
      <c r="A8" s="46" t="s">
        <v>36</v>
      </c>
      <c r="B8" s="47" t="s">
        <v>82</v>
      </c>
      <c r="C8" s="47" t="s">
        <v>85</v>
      </c>
      <c r="D8" s="48">
        <v>250</v>
      </c>
      <c r="E8" s="48">
        <v>640</v>
      </c>
      <c r="F8" s="48">
        <v>800</v>
      </c>
      <c r="G8" s="14">
        <v>0.5862845546454144</v>
      </c>
      <c r="H8" s="14">
        <v>33.338518100000002</v>
      </c>
      <c r="I8" s="14">
        <v>1160</v>
      </c>
      <c r="J8" s="21">
        <v>33.338518100000002</v>
      </c>
      <c r="K8" s="21">
        <v>-6.1049990099999998E-3</v>
      </c>
      <c r="L8" s="21">
        <v>5.4748257899999999E-5</v>
      </c>
      <c r="M8" s="21">
        <v>-1.4073991599999999E-7</v>
      </c>
      <c r="N8" s="21">
        <v>8.5515556200000006E-11</v>
      </c>
      <c r="O8" s="21">
        <v>-1.65132626E-14</v>
      </c>
      <c r="P8" s="21">
        <v>0.13033218499999999</v>
      </c>
      <c r="Q8" s="21">
        <v>7.1151576100000004E-5</v>
      </c>
      <c r="R8" s="21">
        <v>4.6697482199999997E-7</v>
      </c>
      <c r="S8" s="21">
        <v>-8.5052040100000004E-10</v>
      </c>
      <c r="T8" s="21">
        <v>5.4116566200000004E-13</v>
      </c>
      <c r="U8" s="21">
        <v>-1.2995610400000001E-16</v>
      </c>
      <c r="V8" s="14">
        <v>4</v>
      </c>
      <c r="W8" s="10">
        <v>6000</v>
      </c>
      <c r="X8" s="10">
        <v>6000</v>
      </c>
      <c r="Y8" s="10">
        <v>0.625</v>
      </c>
      <c r="Z8" s="10">
        <v>150</v>
      </c>
      <c r="AA8" s="10">
        <v>188</v>
      </c>
      <c r="AB8" s="50">
        <v>15</v>
      </c>
      <c r="AC8" s="50">
        <v>86</v>
      </c>
      <c r="AD8" s="50">
        <v>17.8</v>
      </c>
      <c r="AE8" s="14">
        <v>5700</v>
      </c>
    </row>
    <row r="9" spans="1:31" x14ac:dyDescent="0.3">
      <c r="A9" s="46" t="s">
        <v>36</v>
      </c>
      <c r="B9" s="47" t="s">
        <v>82</v>
      </c>
      <c r="C9" s="47" t="s">
        <v>86</v>
      </c>
      <c r="D9" s="48">
        <v>300</v>
      </c>
      <c r="E9" s="48">
        <v>838</v>
      </c>
      <c r="F9" s="48">
        <v>1020</v>
      </c>
      <c r="G9" s="14">
        <v>0.60320464046272981</v>
      </c>
      <c r="H9" s="14">
        <v>33.757369531000002</v>
      </c>
      <c r="I9" s="14">
        <v>1430</v>
      </c>
      <c r="J9" s="21">
        <v>33.757369531000002</v>
      </c>
      <c r="K9" s="21">
        <v>5.4031385147999995E-4</v>
      </c>
      <c r="L9" s="21">
        <v>-1.0904320834999999E-6</v>
      </c>
      <c r="M9" s="21">
        <v>-3.0109235387999998E-9</v>
      </c>
      <c r="N9" s="21">
        <v>-9.2769563073999997E-12</v>
      </c>
      <c r="O9" s="21">
        <v>2.5824023184999998E-15</v>
      </c>
      <c r="P9" s="21">
        <v>0.21763622722609999</v>
      </c>
      <c r="Q9" s="21">
        <v>1.044436343026E-4</v>
      </c>
      <c r="R9" s="21">
        <v>-3.5550125411449998E-7</v>
      </c>
      <c r="S9" s="21">
        <v>8.5161954814929997E-10</v>
      </c>
      <c r="T9" s="21">
        <v>-7.0103280818139998E-13</v>
      </c>
      <c r="U9" s="21">
        <v>1.8570586225650001E-16</v>
      </c>
      <c r="V9" s="14">
        <v>4</v>
      </c>
      <c r="W9" s="10">
        <v>6000</v>
      </c>
      <c r="X9" s="10">
        <v>6000</v>
      </c>
      <c r="Y9" s="10">
        <v>0.625</v>
      </c>
      <c r="Z9" s="10">
        <v>150</v>
      </c>
      <c r="AA9" s="10">
        <v>188</v>
      </c>
      <c r="AB9" s="50">
        <v>14</v>
      </c>
      <c r="AC9" s="50">
        <v>96</v>
      </c>
      <c r="AD9" s="50">
        <v>16.399999999999995</v>
      </c>
      <c r="AE9" s="14">
        <v>5700</v>
      </c>
    </row>
    <row r="10" spans="1:31" x14ac:dyDescent="0.3">
      <c r="A10" s="46" t="s">
        <v>36</v>
      </c>
      <c r="B10" s="47" t="s">
        <v>82</v>
      </c>
      <c r="C10" s="47" t="s">
        <v>87</v>
      </c>
      <c r="D10" s="48">
        <v>250</v>
      </c>
      <c r="E10" s="48">
        <v>1067</v>
      </c>
      <c r="F10" s="48">
        <v>1300</v>
      </c>
      <c r="G10" s="14">
        <v>0.55430000000000001</v>
      </c>
      <c r="H10" s="14">
        <v>33.299999999999997</v>
      </c>
      <c r="I10" s="14">
        <v>1530</v>
      </c>
      <c r="J10" s="21">
        <v>33.299999999999997</v>
      </c>
      <c r="K10" s="21">
        <v>-2.0799999999999999E-2</v>
      </c>
      <c r="L10" s="21">
        <v>6.2199999999999994E-5</v>
      </c>
      <c r="M10" s="21">
        <v>-6.7700000000000004E-8</v>
      </c>
      <c r="N10" s="21">
        <v>2.4299999999999999E-11</v>
      </c>
      <c r="O10" s="21">
        <v>-4.4800000000000002E-15</v>
      </c>
      <c r="P10" s="21">
        <v>0.185</v>
      </c>
      <c r="Q10" s="21">
        <v>1.76E-4</v>
      </c>
      <c r="R10" s="21">
        <v>-2.85E-8</v>
      </c>
      <c r="S10" s="21">
        <v>5.39E-10</v>
      </c>
      <c r="T10" s="21">
        <v>-7.8399999999999999E-13</v>
      </c>
      <c r="U10" s="21">
        <v>2.73E-16</v>
      </c>
      <c r="V10" s="14">
        <v>4</v>
      </c>
      <c r="W10" s="10">
        <v>6000</v>
      </c>
      <c r="X10" s="10">
        <v>6000</v>
      </c>
      <c r="Y10" s="10">
        <v>0.68799999999999994</v>
      </c>
      <c r="Z10" s="10">
        <v>200</v>
      </c>
      <c r="AA10" s="10">
        <v>250</v>
      </c>
      <c r="AB10" s="50">
        <v>15</v>
      </c>
      <c r="AC10" s="50">
        <v>87</v>
      </c>
      <c r="AD10" s="50">
        <v>18</v>
      </c>
      <c r="AE10" s="14">
        <v>5700</v>
      </c>
    </row>
    <row r="11" spans="1:31" x14ac:dyDescent="0.3">
      <c r="A11" s="46" t="s">
        <v>36</v>
      </c>
      <c r="B11" s="47" t="s">
        <v>82</v>
      </c>
      <c r="C11" s="47" t="s">
        <v>88</v>
      </c>
      <c r="D11" s="48">
        <v>100</v>
      </c>
      <c r="E11" s="48">
        <v>1160</v>
      </c>
      <c r="F11" s="48">
        <v>1570</v>
      </c>
      <c r="G11" s="14">
        <v>0.57369999999999999</v>
      </c>
      <c r="H11" s="14">
        <v>40</v>
      </c>
      <c r="I11" s="14">
        <v>2000</v>
      </c>
      <c r="J11" s="21">
        <v>40.5</v>
      </c>
      <c r="K11" s="21">
        <v>-7.4000000000000003E-3</v>
      </c>
      <c r="L11" s="21">
        <v>2.2900000000000001E-6</v>
      </c>
      <c r="M11" s="21">
        <v>2.1900000000000001E-9</v>
      </c>
      <c r="N11" s="21">
        <v>-7.9500000000000007E-12</v>
      </c>
      <c r="O11" s="21">
        <v>2.2999999999999999E-15</v>
      </c>
      <c r="P11" s="21">
        <v>0.30499999999999999</v>
      </c>
      <c r="Q11" s="21">
        <v>-7.08E-5</v>
      </c>
      <c r="R11" s="21">
        <v>4.08E-7</v>
      </c>
      <c r="S11" s="21">
        <v>-3.2099999999999998E-10</v>
      </c>
      <c r="T11" s="21">
        <v>6.6800000000000003E-14</v>
      </c>
      <c r="U11" s="21">
        <v>2.2699999999999999E-18</v>
      </c>
      <c r="V11" s="14">
        <v>4</v>
      </c>
      <c r="W11" s="10">
        <v>6000</v>
      </c>
      <c r="X11" s="10">
        <v>6000</v>
      </c>
      <c r="Y11" s="10">
        <v>0.68799999999999994</v>
      </c>
      <c r="Z11" s="10">
        <v>200</v>
      </c>
      <c r="AA11" s="10">
        <v>250</v>
      </c>
      <c r="AB11" s="50">
        <v>7</v>
      </c>
      <c r="AC11" s="50">
        <v>132</v>
      </c>
      <c r="AD11" s="50">
        <v>8.9285714285714377</v>
      </c>
      <c r="AE11" s="14">
        <v>5700</v>
      </c>
    </row>
    <row r="12" spans="1:31" x14ac:dyDescent="0.3">
      <c r="A12" s="46" t="s">
        <v>36</v>
      </c>
      <c r="B12" s="47" t="s">
        <v>82</v>
      </c>
      <c r="C12" s="47" t="s">
        <v>89</v>
      </c>
      <c r="D12" s="48">
        <v>300</v>
      </c>
      <c r="E12" s="48">
        <v>1247</v>
      </c>
      <c r="F12" s="48">
        <v>1570</v>
      </c>
      <c r="G12" s="14">
        <v>0.54867331329202718</v>
      </c>
      <c r="H12" s="14">
        <v>29.485676000000002</v>
      </c>
      <c r="I12" s="14">
        <v>1800</v>
      </c>
      <c r="J12" s="21">
        <v>29.485676000000002</v>
      </c>
      <c r="K12" s="21">
        <v>-1.1947417700000001E-2</v>
      </c>
      <c r="L12" s="21">
        <v>1.6638856900000002E-5</v>
      </c>
      <c r="M12" s="21">
        <v>-1.8829735599999999E-8</v>
      </c>
      <c r="N12" s="21">
        <v>1.02770792E-11</v>
      </c>
      <c r="O12" s="21">
        <v>-3.0205674900000001E-15</v>
      </c>
      <c r="P12" s="21">
        <v>0.193087277</v>
      </c>
      <c r="Q12" s="21">
        <v>3.7299792999999999E-5</v>
      </c>
      <c r="R12" s="21">
        <v>7.6069061000000001E-8</v>
      </c>
      <c r="S12" s="21">
        <v>2.5895274699999998E-10</v>
      </c>
      <c r="T12" s="21">
        <v>-3.47210862E-13</v>
      </c>
      <c r="U12" s="21">
        <v>1.02348244E-16</v>
      </c>
      <c r="V12" s="14">
        <v>4</v>
      </c>
      <c r="W12" s="10">
        <v>6000</v>
      </c>
      <c r="X12" s="10">
        <v>6000</v>
      </c>
      <c r="Y12" s="10">
        <v>0.68799999999999994</v>
      </c>
      <c r="Z12" s="10">
        <v>200</v>
      </c>
      <c r="AA12" s="10">
        <v>250</v>
      </c>
      <c r="AB12" s="50">
        <v>14</v>
      </c>
      <c r="AC12" s="50">
        <v>81</v>
      </c>
      <c r="AD12" s="50">
        <v>16.749999999999996</v>
      </c>
      <c r="AE12" s="14">
        <v>5700</v>
      </c>
    </row>
    <row r="13" spans="1:31" x14ac:dyDescent="0.3">
      <c r="A13" s="46" t="s">
        <v>36</v>
      </c>
      <c r="B13" s="47" t="s">
        <v>82</v>
      </c>
      <c r="C13" s="47" t="s">
        <v>90</v>
      </c>
      <c r="D13" s="48">
        <v>400</v>
      </c>
      <c r="E13" s="48">
        <v>1752</v>
      </c>
      <c r="F13" s="48">
        <v>2150</v>
      </c>
      <c r="G13" s="14">
        <v>0.68673709930186644</v>
      </c>
      <c r="H13" s="14">
        <v>29.438551700000001</v>
      </c>
      <c r="I13" s="14">
        <v>2910</v>
      </c>
      <c r="J13" s="21">
        <v>33.549999999999997</v>
      </c>
      <c r="K13" s="21">
        <v>-4.5808823200000001E-3</v>
      </c>
      <c r="L13" s="21">
        <v>-1.55318535E-6</v>
      </c>
      <c r="M13" s="21">
        <v>4.7157285400000003E-9</v>
      </c>
      <c r="N13" s="21">
        <v>-3.17509238E-12</v>
      </c>
      <c r="O13" s="21">
        <v>5.4440954999999999E-16</v>
      </c>
      <c r="P13" s="21">
        <v>0.27459537000000001</v>
      </c>
      <c r="Q13" s="21">
        <v>2.1442568100000001E-5</v>
      </c>
      <c r="R13" s="21">
        <v>5.84630597E-8</v>
      </c>
      <c r="S13" s="21">
        <v>2.5638020699999999E-11</v>
      </c>
      <c r="T13" s="21">
        <v>-3.3181428799999999E-14</v>
      </c>
      <c r="U13" s="21">
        <v>6.4868868799999997E-18</v>
      </c>
      <c r="V13" s="14">
        <v>4</v>
      </c>
      <c r="W13" s="10">
        <v>6000</v>
      </c>
      <c r="X13" s="10">
        <v>6000</v>
      </c>
      <c r="Y13" s="10">
        <v>0.68799999999999994</v>
      </c>
      <c r="Z13" s="10">
        <v>200</v>
      </c>
      <c r="AA13" s="10">
        <v>250</v>
      </c>
      <c r="AB13" s="50">
        <v>7</v>
      </c>
      <c r="AC13" s="50">
        <v>100</v>
      </c>
      <c r="AD13" s="50">
        <v>8.4545454545454479</v>
      </c>
      <c r="AE13" s="14">
        <v>5700</v>
      </c>
    </row>
    <row r="14" spans="1:31" x14ac:dyDescent="0.3">
      <c r="A14" s="46" t="s">
        <v>36</v>
      </c>
      <c r="B14" s="47" t="s">
        <v>82</v>
      </c>
      <c r="C14" s="47" t="s">
        <v>91</v>
      </c>
      <c r="D14" s="48">
        <v>450</v>
      </c>
      <c r="E14" s="48">
        <v>2177</v>
      </c>
      <c r="F14" s="48">
        <v>2800</v>
      </c>
      <c r="G14" s="14">
        <v>0.68040000000000012</v>
      </c>
      <c r="H14" s="14">
        <v>33.250619999999998</v>
      </c>
      <c r="I14" s="14">
        <v>3850</v>
      </c>
      <c r="J14" s="21">
        <v>33.250619999999998</v>
      </c>
      <c r="K14" s="21">
        <v>-8.0164310000000003E-4</v>
      </c>
      <c r="L14" s="21">
        <v>-4.4815789999999996E-6</v>
      </c>
      <c r="M14" s="21">
        <v>3.5018839999999999E-9</v>
      </c>
      <c r="N14" s="21">
        <v>-1.2564890000000001E-12</v>
      </c>
      <c r="O14" s="21">
        <v>1.330146E-16</v>
      </c>
      <c r="P14" s="21">
        <v>0.38130740000000002</v>
      </c>
      <c r="Q14" s="21">
        <v>9.5451780000000005E-5</v>
      </c>
      <c r="R14" s="21">
        <v>-4.5970199999999998E-8</v>
      </c>
      <c r="S14" s="21">
        <v>4.612934E-11</v>
      </c>
      <c r="T14" s="21">
        <v>-1.483404E-14</v>
      </c>
      <c r="U14" s="21">
        <v>1.360429E-18</v>
      </c>
      <c r="V14" s="14">
        <v>4</v>
      </c>
      <c r="W14" s="10">
        <v>6000</v>
      </c>
      <c r="X14" s="10">
        <v>6000</v>
      </c>
      <c r="Y14" s="10">
        <v>0.68799999999999994</v>
      </c>
      <c r="Z14" s="10">
        <v>200</v>
      </c>
      <c r="AA14" s="10">
        <v>250</v>
      </c>
      <c r="AB14" s="50">
        <v>10</v>
      </c>
      <c r="AC14" s="50">
        <v>85</v>
      </c>
      <c r="AD14" s="50">
        <v>12.500000000000004</v>
      </c>
      <c r="AE14" s="14">
        <v>11000</v>
      </c>
    </row>
    <row r="15" spans="1:31" x14ac:dyDescent="0.3">
      <c r="A15" s="46" t="s">
        <v>36</v>
      </c>
      <c r="B15" s="47" t="s">
        <v>82</v>
      </c>
      <c r="C15" s="47" t="s">
        <v>92</v>
      </c>
      <c r="D15" s="48">
        <v>700</v>
      </c>
      <c r="E15" s="48">
        <v>2880</v>
      </c>
      <c r="F15" s="48">
        <v>3700</v>
      </c>
      <c r="G15" s="14">
        <v>0.63261177462213036</v>
      </c>
      <c r="H15" s="14">
        <v>28.034700900000001</v>
      </c>
      <c r="I15" s="14">
        <v>4800</v>
      </c>
      <c r="J15" s="21">
        <v>28.034700900000001</v>
      </c>
      <c r="K15" s="21">
        <v>-4.0106298600000001E-4</v>
      </c>
      <c r="L15" s="21">
        <v>-2.17420004E-6</v>
      </c>
      <c r="M15" s="21">
        <v>8.1987266000000004E-10</v>
      </c>
      <c r="N15" s="21">
        <v>-1.70157601E-13</v>
      </c>
      <c r="O15" s="21">
        <v>9.3141484900000007E-18</v>
      </c>
      <c r="P15" s="21">
        <v>0.45332085500000002</v>
      </c>
      <c r="Q15" s="21">
        <v>7.0179623999999994E-5</v>
      </c>
      <c r="R15" s="21">
        <v>-1.87458879E-8</v>
      </c>
      <c r="S15" s="21">
        <v>1.6212949400000001E-11</v>
      </c>
      <c r="T15" s="21">
        <v>-5.2582543899999998E-15</v>
      </c>
      <c r="U15" s="21">
        <v>4.8519766199999998E-19</v>
      </c>
      <c r="V15" s="14">
        <v>4</v>
      </c>
      <c r="W15" s="10">
        <v>6000</v>
      </c>
      <c r="X15" s="10">
        <v>6000</v>
      </c>
      <c r="Y15" s="10">
        <v>0.875</v>
      </c>
      <c r="Z15" s="10">
        <v>400</v>
      </c>
      <c r="AA15" s="10">
        <v>500</v>
      </c>
      <c r="AB15" s="50">
        <v>6</v>
      </c>
      <c r="AC15" s="50">
        <v>96</v>
      </c>
      <c r="AD15" s="50">
        <v>7.5000000000000027</v>
      </c>
      <c r="AE15" s="14">
        <v>11000</v>
      </c>
    </row>
    <row r="16" spans="1:31" x14ac:dyDescent="0.3">
      <c r="A16" s="46" t="s">
        <v>36</v>
      </c>
      <c r="B16" s="47" t="s">
        <v>82</v>
      </c>
      <c r="C16" s="47" t="s">
        <v>93</v>
      </c>
      <c r="D16" s="48">
        <v>1200</v>
      </c>
      <c r="E16" s="48">
        <v>4310</v>
      </c>
      <c r="F16" s="48">
        <v>5200</v>
      </c>
      <c r="G16" s="14">
        <v>0.68035999999999996</v>
      </c>
      <c r="H16" s="14">
        <v>27.900120000000001</v>
      </c>
      <c r="I16" s="14">
        <v>7000</v>
      </c>
      <c r="J16" s="21">
        <v>27.900120000000001</v>
      </c>
      <c r="K16" s="21">
        <v>-5.698257E-3</v>
      </c>
      <c r="L16" s="21">
        <v>2.5241679999999999E-6</v>
      </c>
      <c r="M16" s="21">
        <v>-2.4507069999999998E-10</v>
      </c>
      <c r="N16" s="21">
        <v>-4.6915560000000001E-14</v>
      </c>
      <c r="O16" s="21">
        <v>5.0651699999999998E-18</v>
      </c>
      <c r="P16" s="21">
        <v>0.58453889999999997</v>
      </c>
      <c r="Q16" s="21">
        <v>-2.1631279999999999E-5</v>
      </c>
      <c r="R16" s="21">
        <v>6.4847370000000004E-8</v>
      </c>
      <c r="S16" s="21">
        <v>-4.9510280000000002E-12</v>
      </c>
      <c r="T16" s="21">
        <v>-1.4538129999999999E-15</v>
      </c>
      <c r="U16" s="21">
        <v>1.510772E-19</v>
      </c>
      <c r="V16" s="14">
        <v>4</v>
      </c>
      <c r="W16" s="10">
        <v>6000</v>
      </c>
      <c r="X16" s="10">
        <v>6000</v>
      </c>
      <c r="Y16" s="10">
        <v>0.875</v>
      </c>
      <c r="Z16" s="10">
        <v>400</v>
      </c>
      <c r="AA16" s="10">
        <v>500</v>
      </c>
      <c r="AB16" s="50">
        <v>3</v>
      </c>
      <c r="AC16" s="50">
        <v>67</v>
      </c>
      <c r="AD16" s="50">
        <v>4.5714285714285712</v>
      </c>
      <c r="AE16" s="14">
        <v>11000</v>
      </c>
    </row>
    <row r="17" spans="1:31" x14ac:dyDescent="0.3">
      <c r="A17" s="46" t="s">
        <v>36</v>
      </c>
      <c r="B17" s="47" t="s">
        <v>82</v>
      </c>
      <c r="C17" s="47" t="s">
        <v>94</v>
      </c>
      <c r="D17" s="48">
        <v>1500</v>
      </c>
      <c r="E17" s="48">
        <v>5500</v>
      </c>
      <c r="F17" s="20">
        <v>7500</v>
      </c>
      <c r="G17" s="14">
        <v>0.6758904417485786</v>
      </c>
      <c r="H17" s="14">
        <v>29.217338999999999</v>
      </c>
      <c r="I17" s="14">
        <v>8800</v>
      </c>
      <c r="J17" s="21">
        <v>29.217338999999999</v>
      </c>
      <c r="K17" s="21">
        <v>-7.9234171899999995E-4</v>
      </c>
      <c r="L17" s="21">
        <v>-1.2112459E-6</v>
      </c>
      <c r="M17" s="21">
        <v>5.7291403700000001E-10</v>
      </c>
      <c r="N17" s="21">
        <v>-8.84726477E-14</v>
      </c>
      <c r="O17" s="21">
        <v>4.01468885E-18</v>
      </c>
      <c r="P17" s="21">
        <v>0.79308936299999999</v>
      </c>
      <c r="Q17" s="21">
        <v>3.4816585899999998E-5</v>
      </c>
      <c r="R17" s="21">
        <v>-3.4433129100000001E-8</v>
      </c>
      <c r="S17" s="21">
        <v>2.6514944699999999E-11</v>
      </c>
      <c r="T17" s="21">
        <v>-4.5070119500000003E-15</v>
      </c>
      <c r="U17" s="21">
        <v>2.2514503499999999E-19</v>
      </c>
      <c r="V17" s="14">
        <v>4</v>
      </c>
      <c r="W17" s="10">
        <v>6000</v>
      </c>
      <c r="X17" s="10">
        <v>6000</v>
      </c>
      <c r="Y17" s="10">
        <v>0.875</v>
      </c>
      <c r="Z17" s="10">
        <v>400</v>
      </c>
      <c r="AA17" s="10">
        <v>500</v>
      </c>
      <c r="AB17" s="50">
        <v>3</v>
      </c>
      <c r="AC17" s="50">
        <v>67</v>
      </c>
      <c r="AD17" s="50">
        <v>4.5714285714285712</v>
      </c>
      <c r="AE17" s="14">
        <v>11000</v>
      </c>
    </row>
    <row r="18" spans="1:31" x14ac:dyDescent="0.3">
      <c r="A18" s="46" t="s">
        <v>36</v>
      </c>
      <c r="B18" s="47" t="s">
        <v>95</v>
      </c>
      <c r="C18" s="47" t="s">
        <v>96</v>
      </c>
      <c r="D18" s="48">
        <v>120</v>
      </c>
      <c r="E18" s="48">
        <v>1492</v>
      </c>
      <c r="F18" s="48">
        <v>2000</v>
      </c>
      <c r="G18" s="14">
        <v>0.58509937530040623</v>
      </c>
      <c r="H18" s="14">
        <v>59.306820000000002</v>
      </c>
      <c r="I18" s="14">
        <v>2500</v>
      </c>
      <c r="J18" s="21">
        <v>59.306820000000002</v>
      </c>
      <c r="K18" s="21">
        <v>-4.3668409999999998E-3</v>
      </c>
      <c r="L18" s="21">
        <v>-2.171329E-7</v>
      </c>
      <c r="M18" s="21">
        <v>-1.774825E-9</v>
      </c>
      <c r="N18" s="21">
        <v>-1.6596740000000001E-13</v>
      </c>
      <c r="O18" s="21">
        <v>-8.2051280000000001E-17</v>
      </c>
      <c r="P18" s="21">
        <v>0.39021850000000002</v>
      </c>
      <c r="Q18" s="21">
        <v>7.4929489999999994E-5</v>
      </c>
      <c r="R18" s="21">
        <v>5.7952800000000005E-7</v>
      </c>
      <c r="S18" s="21">
        <v>-4.1494169999999999E-10</v>
      </c>
      <c r="T18" s="21">
        <v>9.0349650000000001E-14</v>
      </c>
      <c r="U18" s="21">
        <v>-2.4615379999999999E-18</v>
      </c>
      <c r="V18" s="14">
        <v>5.25</v>
      </c>
      <c r="W18" s="10">
        <v>6000</v>
      </c>
      <c r="X18" s="10">
        <v>6000</v>
      </c>
      <c r="Y18" s="10">
        <v>0.875</v>
      </c>
      <c r="Z18" s="10">
        <v>400</v>
      </c>
      <c r="AA18" s="10">
        <v>500</v>
      </c>
      <c r="AB18" s="50">
        <v>11</v>
      </c>
      <c r="AC18" s="50">
        <v>82</v>
      </c>
      <c r="AD18" s="50">
        <v>14.2</v>
      </c>
      <c r="AE18" s="14">
        <v>18000</v>
      </c>
    </row>
    <row r="19" spans="1:31" x14ac:dyDescent="0.3">
      <c r="A19" s="46" t="s">
        <v>36</v>
      </c>
      <c r="B19" s="47" t="s">
        <v>95</v>
      </c>
      <c r="C19" s="47" t="s">
        <v>97</v>
      </c>
      <c r="D19" s="48">
        <v>240</v>
      </c>
      <c r="E19" s="48">
        <v>2182</v>
      </c>
      <c r="F19" s="48">
        <v>2700</v>
      </c>
      <c r="G19" s="14">
        <v>0.57829857567680998</v>
      </c>
      <c r="H19" s="14">
        <v>50.872845099999999</v>
      </c>
      <c r="I19" s="14">
        <v>3100</v>
      </c>
      <c r="J19" s="21">
        <v>50.872845099999999</v>
      </c>
      <c r="K19" s="21">
        <v>-3.62080499E-3</v>
      </c>
      <c r="L19" s="21">
        <v>1.4315342599999999E-5</v>
      </c>
      <c r="M19" s="21">
        <v>-1.8613630599999998E-8</v>
      </c>
      <c r="N19" s="21">
        <v>7.6648677300000004E-12</v>
      </c>
      <c r="O19" s="21">
        <v>-1.14298837E-15</v>
      </c>
      <c r="P19" s="21">
        <v>0.58305870999999998</v>
      </c>
      <c r="Q19" s="21">
        <v>1.9707485000000001E-4</v>
      </c>
      <c r="R19" s="21">
        <v>1.0183001100000001E-7</v>
      </c>
      <c r="S19" s="21">
        <v>-2.0007937999999999E-11</v>
      </c>
      <c r="T19" s="21">
        <v>-3.1344225199999999E-14</v>
      </c>
      <c r="U19" s="21">
        <v>7.8991713200000001E-18</v>
      </c>
      <c r="V19" s="14">
        <v>5.25</v>
      </c>
      <c r="W19" s="10">
        <v>6000</v>
      </c>
      <c r="X19" s="10">
        <v>6000</v>
      </c>
      <c r="Y19" s="10">
        <v>0.875</v>
      </c>
      <c r="Z19" s="10">
        <v>400</v>
      </c>
      <c r="AA19" s="10">
        <v>500</v>
      </c>
      <c r="AB19" s="50">
        <v>8</v>
      </c>
      <c r="AC19" s="50">
        <v>86</v>
      </c>
      <c r="AD19" s="50">
        <v>11.142857142857137</v>
      </c>
      <c r="AE19" s="14">
        <v>18000</v>
      </c>
    </row>
    <row r="20" spans="1:31" x14ac:dyDescent="0.3">
      <c r="A20" s="46" t="s">
        <v>36</v>
      </c>
      <c r="B20" s="47" t="s">
        <v>95</v>
      </c>
      <c r="C20" s="47" t="s">
        <v>98</v>
      </c>
      <c r="D20" s="48">
        <v>270</v>
      </c>
      <c r="E20" s="48">
        <v>2565</v>
      </c>
      <c r="F20" s="48">
        <v>3100</v>
      </c>
      <c r="G20" s="14">
        <v>0.63830583351497661</v>
      </c>
      <c r="H20" s="14">
        <v>53.951410000000003</v>
      </c>
      <c r="I20" s="14">
        <v>3800</v>
      </c>
      <c r="J20" s="21">
        <v>53.951410000000003</v>
      </c>
      <c r="K20" s="21">
        <v>1.662429E-3</v>
      </c>
      <c r="L20" s="21">
        <v>-6.7223220000000002E-6</v>
      </c>
      <c r="M20" s="21">
        <v>4.3852260000000001E-9</v>
      </c>
      <c r="N20" s="21">
        <v>-1.381696E-12</v>
      </c>
      <c r="O20" s="21">
        <v>1.1925920000000001E-16</v>
      </c>
      <c r="P20" s="21">
        <v>0.71346010000000004</v>
      </c>
      <c r="Q20" s="21">
        <v>-3.19294E-5</v>
      </c>
      <c r="R20" s="21">
        <v>1.829531E-7</v>
      </c>
      <c r="S20" s="21">
        <v>4.1044100000000003E-12</v>
      </c>
      <c r="T20" s="21">
        <v>-2.4460820000000001E-14</v>
      </c>
      <c r="U20" s="21">
        <v>3.4071179999999998E-18</v>
      </c>
      <c r="V20" s="14">
        <v>5.25</v>
      </c>
      <c r="W20" s="10">
        <v>6000</v>
      </c>
      <c r="X20" s="10">
        <v>6000</v>
      </c>
      <c r="Y20" s="10">
        <v>0.875</v>
      </c>
      <c r="Z20" s="10">
        <v>400</v>
      </c>
      <c r="AA20" s="10">
        <v>500</v>
      </c>
      <c r="AB20" s="50">
        <v>8</v>
      </c>
      <c r="AC20" s="50">
        <v>86</v>
      </c>
      <c r="AD20" s="50">
        <v>11.142857142857137</v>
      </c>
      <c r="AE20" s="14">
        <v>18000</v>
      </c>
    </row>
    <row r="21" spans="1:31" x14ac:dyDescent="0.3">
      <c r="A21" s="46" t="s">
        <v>36</v>
      </c>
      <c r="B21" s="47">
        <v>513</v>
      </c>
      <c r="C21" s="47" t="s">
        <v>99</v>
      </c>
      <c r="D21" s="48">
        <v>330</v>
      </c>
      <c r="E21" s="48">
        <v>3434</v>
      </c>
      <c r="F21" s="48">
        <v>4100</v>
      </c>
      <c r="G21" s="14">
        <v>0.62819999999999998</v>
      </c>
      <c r="H21" s="14">
        <v>52.51</v>
      </c>
      <c r="I21" s="14">
        <v>5000</v>
      </c>
      <c r="J21" s="21">
        <v>52.5</v>
      </c>
      <c r="K21" s="21">
        <v>1.64E-6</v>
      </c>
      <c r="L21" s="21">
        <v>-9.0999999999999993E-6</v>
      </c>
      <c r="M21" s="21">
        <v>5.8299999999999999E-9</v>
      </c>
      <c r="N21" s="21">
        <v>-1.4500000000000001E-12</v>
      </c>
      <c r="O21" s="21">
        <v>1.12E-16</v>
      </c>
      <c r="P21" s="21">
        <v>1.0019499999999999</v>
      </c>
      <c r="Q21" s="21">
        <v>5.5727499999999998E-5</v>
      </c>
      <c r="R21" s="21">
        <v>-2.5723399999999998E-9</v>
      </c>
      <c r="S21" s="21">
        <v>6.2062899999999997E-11</v>
      </c>
      <c r="T21" s="21">
        <v>-2.55929E-14</v>
      </c>
      <c r="U21" s="21">
        <v>2.6082600000000001E-18</v>
      </c>
      <c r="V21" s="14">
        <v>5.13</v>
      </c>
      <c r="W21" s="10">
        <v>6000</v>
      </c>
      <c r="X21" s="10">
        <v>6000</v>
      </c>
      <c r="Y21" s="10">
        <v>0.875</v>
      </c>
      <c r="Z21" s="10">
        <v>400</v>
      </c>
      <c r="AA21" s="10">
        <v>500</v>
      </c>
      <c r="AB21" s="50">
        <v>7</v>
      </c>
      <c r="AC21" s="50">
        <v>80</v>
      </c>
      <c r="AD21" s="50">
        <v>10.42857142857145</v>
      </c>
      <c r="AE21" s="14">
        <v>18000</v>
      </c>
    </row>
    <row r="22" spans="1:31" x14ac:dyDescent="0.3">
      <c r="A22" s="46" t="s">
        <v>36</v>
      </c>
      <c r="B22" s="47" t="s">
        <v>95</v>
      </c>
      <c r="C22" s="47" t="s">
        <v>100</v>
      </c>
      <c r="D22" s="48">
        <v>1200</v>
      </c>
      <c r="E22" s="48">
        <v>4432</v>
      </c>
      <c r="F22" s="48">
        <v>5200</v>
      </c>
      <c r="G22" s="14">
        <v>0.64822000000000002</v>
      </c>
      <c r="H22" s="14">
        <v>57.425269999999998</v>
      </c>
      <c r="I22" s="14">
        <v>7000</v>
      </c>
      <c r="J22" s="21">
        <v>57.825270000000003</v>
      </c>
      <c r="K22" s="21">
        <v>-4.5700000000000003E-3</v>
      </c>
      <c r="L22" s="21">
        <v>1.67E-7</v>
      </c>
      <c r="M22" s="21">
        <v>5.05E-11</v>
      </c>
      <c r="N22" s="21">
        <v>-3.24E-14</v>
      </c>
      <c r="O22" s="21">
        <v>1.8999999999999999E-18</v>
      </c>
      <c r="P22" s="21">
        <v>1.29</v>
      </c>
      <c r="Q22" s="21">
        <v>-2.5599999999999999E-5</v>
      </c>
      <c r="R22" s="21">
        <v>5.8000000000000003E-8</v>
      </c>
      <c r="S22" s="21">
        <v>2.0000000000000001E-13</v>
      </c>
      <c r="T22" s="21">
        <v>-2.9299999999999999E-15</v>
      </c>
      <c r="U22" s="21">
        <v>2.61E-19</v>
      </c>
      <c r="V22" s="14">
        <v>5.25</v>
      </c>
      <c r="W22" s="10">
        <v>6000</v>
      </c>
      <c r="X22" s="10">
        <v>6000</v>
      </c>
      <c r="Y22" s="10">
        <v>1</v>
      </c>
      <c r="Z22" s="10">
        <v>600</v>
      </c>
      <c r="AA22" s="10">
        <v>750</v>
      </c>
      <c r="AB22" s="50">
        <v>5</v>
      </c>
      <c r="AC22" s="50">
        <v>99</v>
      </c>
      <c r="AD22" s="50">
        <v>6.7142857142857135</v>
      </c>
      <c r="AE22" s="14">
        <v>18000</v>
      </c>
    </row>
    <row r="23" spans="1:31" x14ac:dyDescent="0.3">
      <c r="A23" s="46" t="s">
        <v>36</v>
      </c>
      <c r="B23" s="47" t="s">
        <v>95</v>
      </c>
      <c r="C23" s="47" t="s">
        <v>101</v>
      </c>
      <c r="D23" s="48">
        <v>600</v>
      </c>
      <c r="E23" s="48">
        <v>6100</v>
      </c>
      <c r="F23" s="48">
        <v>7200</v>
      </c>
      <c r="G23" s="14">
        <v>0.65725999999999996</v>
      </c>
      <c r="H23" s="14">
        <v>44.592500000000001</v>
      </c>
      <c r="I23" s="14">
        <v>9000</v>
      </c>
      <c r="J23" s="21">
        <v>44.592500000000001</v>
      </c>
      <c r="K23" s="21">
        <v>-1.6307450000000001E-3</v>
      </c>
      <c r="L23" s="21">
        <v>-6.3535889999999997E-7</v>
      </c>
      <c r="M23" s="21">
        <v>1.633632E-10</v>
      </c>
      <c r="N23" s="21">
        <v>-1.9053429999999999E-14</v>
      </c>
      <c r="O23" s="21">
        <v>5.4115539999999999E-19</v>
      </c>
      <c r="P23" s="21">
        <v>1.4057390000000001</v>
      </c>
      <c r="Q23" s="21">
        <v>3.9060570000000001E-5</v>
      </c>
      <c r="R23" s="21">
        <v>-3.8059920000000002E-9</v>
      </c>
      <c r="S23" s="21">
        <v>8.9490249999999998E-12</v>
      </c>
      <c r="T23" s="21">
        <v>-1.8003130000000001E-15</v>
      </c>
      <c r="U23" s="21">
        <v>8.9032109999999995E-20</v>
      </c>
      <c r="V23" s="14">
        <v>5.25</v>
      </c>
      <c r="W23" s="10">
        <v>6000</v>
      </c>
      <c r="X23" s="10">
        <v>6000</v>
      </c>
      <c r="Y23" s="10">
        <v>1</v>
      </c>
      <c r="Z23" s="10">
        <v>600</v>
      </c>
      <c r="AA23" s="10">
        <v>750</v>
      </c>
      <c r="AB23" s="50">
        <v>3</v>
      </c>
      <c r="AC23" s="50">
        <v>68</v>
      </c>
      <c r="AD23" s="50">
        <v>4.7142857142857162</v>
      </c>
      <c r="AE23" s="14">
        <v>18000</v>
      </c>
    </row>
    <row r="24" spans="1:31" x14ac:dyDescent="0.3">
      <c r="A24" s="46" t="s">
        <v>36</v>
      </c>
      <c r="B24" s="47" t="s">
        <v>95</v>
      </c>
      <c r="C24" s="47" t="s">
        <v>102</v>
      </c>
      <c r="D24" s="48">
        <v>1050</v>
      </c>
      <c r="E24" s="48">
        <v>9700</v>
      </c>
      <c r="F24" s="48">
        <v>12000</v>
      </c>
      <c r="G24" s="14">
        <v>0.66077578880697085</v>
      </c>
      <c r="H24" s="14">
        <v>43.392829999999996</v>
      </c>
      <c r="I24" s="14">
        <v>14300</v>
      </c>
      <c r="J24" s="21">
        <v>43.392829999999996</v>
      </c>
      <c r="K24" s="21">
        <v>-2.8717349999999998E-3</v>
      </c>
      <c r="L24" s="21">
        <v>4.5831570000000001E-7</v>
      </c>
      <c r="M24" s="21">
        <v>-1.234753E-11</v>
      </c>
      <c r="N24" s="21">
        <v>-3.357867E-15</v>
      </c>
      <c r="O24" s="21">
        <v>1.5130409999999999E-19</v>
      </c>
      <c r="P24" s="21">
        <v>2.3910490000000002</v>
      </c>
      <c r="Q24" s="21">
        <v>-1.1206289999999999E-4</v>
      </c>
      <c r="R24" s="21">
        <v>5.8967069999999997E-8</v>
      </c>
      <c r="S24" s="21">
        <v>-4.1814060000000002E-12</v>
      </c>
      <c r="T24" s="21">
        <v>-2.8454619999999999E-17</v>
      </c>
      <c r="U24" s="21">
        <v>6.1132970000000001E-21</v>
      </c>
      <c r="V24" s="14">
        <v>5.25</v>
      </c>
      <c r="W24" s="10">
        <v>6000</v>
      </c>
      <c r="X24" s="10">
        <v>6000</v>
      </c>
      <c r="Y24" s="10">
        <v>1.1879999999999999</v>
      </c>
      <c r="Z24" s="10">
        <v>1000</v>
      </c>
      <c r="AA24" s="10">
        <v>1250</v>
      </c>
      <c r="AB24" s="50">
        <v>2</v>
      </c>
      <c r="AC24" s="50">
        <v>58</v>
      </c>
      <c r="AD24" s="50">
        <v>4.0000000000000009</v>
      </c>
      <c r="AE24" s="14">
        <v>18000</v>
      </c>
    </row>
    <row r="25" spans="1:31" x14ac:dyDescent="0.3">
      <c r="A25" s="46" t="s">
        <v>36</v>
      </c>
      <c r="B25" s="47" t="s">
        <v>103</v>
      </c>
      <c r="C25" s="47" t="s">
        <v>104</v>
      </c>
      <c r="D25" s="48">
        <v>300</v>
      </c>
      <c r="E25" s="48">
        <v>1635</v>
      </c>
      <c r="F25" s="48">
        <v>2300</v>
      </c>
      <c r="G25" s="14">
        <v>0.55350999999999995</v>
      </c>
      <c r="H25" s="14">
        <v>65.7</v>
      </c>
      <c r="I25" s="14">
        <v>2600</v>
      </c>
      <c r="J25" s="21">
        <v>65.7</v>
      </c>
      <c r="K25" s="21">
        <v>5.6499999999999996E-3</v>
      </c>
      <c r="L25" s="21">
        <v>-2.9499999999999999E-5</v>
      </c>
      <c r="M25" s="21">
        <v>2.6799999999999998E-8</v>
      </c>
      <c r="N25" s="21">
        <v>-1.1200000000000001E-11</v>
      </c>
      <c r="O25" s="21">
        <v>1.49E-15</v>
      </c>
      <c r="P25" s="21">
        <v>0.67900000000000005</v>
      </c>
      <c r="Q25" s="21">
        <v>1.18E-4</v>
      </c>
      <c r="R25" s="21">
        <v>2.4900000000000002E-7</v>
      </c>
      <c r="S25" s="21">
        <v>-1.2899999999999999E-10</v>
      </c>
      <c r="T25" s="21">
        <v>2.8900000000000002E-14</v>
      </c>
      <c r="U25" s="21">
        <v>-3.5399999999999997E-18</v>
      </c>
      <c r="V25" s="14">
        <v>5.38</v>
      </c>
      <c r="W25" s="10">
        <v>6000</v>
      </c>
      <c r="X25" s="10">
        <v>6000</v>
      </c>
      <c r="Y25" s="10">
        <v>0.875</v>
      </c>
      <c r="Z25" s="10">
        <v>400</v>
      </c>
      <c r="AA25" s="10">
        <v>500</v>
      </c>
      <c r="AB25" s="50">
        <v>6</v>
      </c>
      <c r="AC25" s="50">
        <v>148</v>
      </c>
      <c r="AD25" s="50">
        <v>10.142857142857142</v>
      </c>
      <c r="AE25" s="14">
        <v>18000</v>
      </c>
    </row>
    <row r="26" spans="1:31" x14ac:dyDescent="0.3">
      <c r="A26" s="46" t="s">
        <v>36</v>
      </c>
      <c r="B26" s="47" t="s">
        <v>103</v>
      </c>
      <c r="C26" s="47" t="s">
        <v>105</v>
      </c>
      <c r="D26" s="48">
        <v>300</v>
      </c>
      <c r="E26" s="48">
        <v>1720</v>
      </c>
      <c r="F26" s="48">
        <v>2300</v>
      </c>
      <c r="G26" s="14">
        <v>0.5625</v>
      </c>
      <c r="H26" s="14">
        <v>73.5</v>
      </c>
      <c r="I26" s="14">
        <v>3383.3</v>
      </c>
      <c r="J26" s="21">
        <v>74.915141985393205</v>
      </c>
      <c r="K26" s="21">
        <v>2.3303500800368701E-3</v>
      </c>
      <c r="L26" s="21">
        <v>-1.3853546428147672E-5</v>
      </c>
      <c r="M26" s="21">
        <v>5.2941988134853012E-9</v>
      </c>
      <c r="N26" s="21">
        <v>-1.0790112674423383E-12</v>
      </c>
      <c r="O26" s="21">
        <v>4.07434111587734E-17</v>
      </c>
      <c r="P26" s="21">
        <v>0.63470266489384697</v>
      </c>
      <c r="Q26" s="21">
        <v>2.817265887128687E-4</v>
      </c>
      <c r="R26" s="21">
        <v>2.25667089900137E-7</v>
      </c>
      <c r="S26" s="21">
        <v>-2.8400523215398802E-10</v>
      </c>
      <c r="T26" s="21">
        <v>1.3691445328608099E-13</v>
      </c>
      <c r="U26" s="51">
        <v>-2.2565365961180799E-17</v>
      </c>
      <c r="V26" s="14">
        <v>5.38</v>
      </c>
      <c r="W26" s="10">
        <v>6000</v>
      </c>
      <c r="X26" s="10">
        <v>6000</v>
      </c>
      <c r="Y26" s="10">
        <v>0.875</v>
      </c>
      <c r="Z26" s="10">
        <v>400</v>
      </c>
      <c r="AA26" s="10">
        <v>500</v>
      </c>
      <c r="AB26" s="50">
        <v>4</v>
      </c>
      <c r="AC26" s="50">
        <v>104</v>
      </c>
      <c r="AD26" s="50">
        <v>7.1428571428571432</v>
      </c>
      <c r="AE26" s="14">
        <v>18000</v>
      </c>
    </row>
    <row r="27" spans="1:31" x14ac:dyDescent="0.3">
      <c r="A27" s="46" t="s">
        <v>36</v>
      </c>
      <c r="B27" s="47" t="s">
        <v>103</v>
      </c>
      <c r="C27" s="47" t="s">
        <v>106</v>
      </c>
      <c r="D27" s="48">
        <v>600</v>
      </c>
      <c r="E27" s="48">
        <v>2544</v>
      </c>
      <c r="F27" s="48">
        <v>3200</v>
      </c>
      <c r="G27" s="14">
        <v>0.6747534242983757</v>
      </c>
      <c r="H27" s="14">
        <v>63.199599999999997</v>
      </c>
      <c r="I27" s="14">
        <v>3750</v>
      </c>
      <c r="J27" s="21">
        <v>63.199599999999997</v>
      </c>
      <c r="K27" s="21">
        <v>3.8093699999999997E-4</v>
      </c>
      <c r="L27" s="21">
        <v>-9.9635700000000002E-6</v>
      </c>
      <c r="M27" s="21">
        <v>6.3421100000000001E-9</v>
      </c>
      <c r="N27" s="21">
        <v>-1.5432300000000001E-12</v>
      </c>
      <c r="O27" s="21">
        <v>7.3669799999999996E-17</v>
      </c>
      <c r="P27" s="21">
        <v>0.80906599999999995</v>
      </c>
      <c r="Q27" s="21">
        <v>-1.3881399999999999E-4</v>
      </c>
      <c r="R27" s="21">
        <v>4.7887500000000003E-7</v>
      </c>
      <c r="S27" s="21">
        <v>-2.4130699999999999E-10</v>
      </c>
      <c r="T27" s="21">
        <v>5.2239899999999999E-14</v>
      </c>
      <c r="U27" s="21">
        <v>-4.3032799999999998E-18</v>
      </c>
      <c r="V27" s="14">
        <v>5.38</v>
      </c>
      <c r="W27" s="10">
        <v>6000</v>
      </c>
      <c r="X27" s="10">
        <v>6000</v>
      </c>
      <c r="Y27" s="10">
        <v>0.875</v>
      </c>
      <c r="Z27" s="10">
        <v>400</v>
      </c>
      <c r="AA27" s="10">
        <v>500</v>
      </c>
      <c r="AB27" s="50">
        <v>7</v>
      </c>
      <c r="AC27" s="50">
        <v>88</v>
      </c>
      <c r="AD27" s="50">
        <v>11.571428571428566</v>
      </c>
      <c r="AE27" s="14">
        <v>18000</v>
      </c>
    </row>
    <row r="28" spans="1:31" x14ac:dyDescent="0.3">
      <c r="A28" s="46" t="s">
        <v>36</v>
      </c>
      <c r="B28" s="47" t="s">
        <v>103</v>
      </c>
      <c r="C28" s="47" t="s">
        <v>107</v>
      </c>
      <c r="D28" s="48">
        <v>750</v>
      </c>
      <c r="E28" s="48">
        <v>3489</v>
      </c>
      <c r="F28" s="48">
        <v>4600</v>
      </c>
      <c r="G28" s="14">
        <v>0.70009055265351261</v>
      </c>
      <c r="H28" s="14">
        <v>64.287099999999995</v>
      </c>
      <c r="I28" s="14">
        <v>5800</v>
      </c>
      <c r="J28" s="21">
        <v>64.287099999999995</v>
      </c>
      <c r="K28" s="21">
        <v>5.0566100000000002E-4</v>
      </c>
      <c r="L28" s="21">
        <v>-1.0988299999999999E-6</v>
      </c>
      <c r="M28" s="21">
        <v>1.86455E-10</v>
      </c>
      <c r="N28" s="21">
        <v>-8.2556099999999999E-14</v>
      </c>
      <c r="O28" s="21">
        <v>4.2475899999999999E-18</v>
      </c>
      <c r="P28" s="21">
        <v>1.1871100000000001</v>
      </c>
      <c r="Q28" s="21">
        <v>1.0009E-4</v>
      </c>
      <c r="R28" s="21">
        <v>6.4938699999999994E-8</v>
      </c>
      <c r="S28" s="21">
        <v>-6.81374E-12</v>
      </c>
      <c r="T28" s="21">
        <v>-1.9602400000000001E-15</v>
      </c>
      <c r="U28" s="21">
        <v>2.04374E-19</v>
      </c>
      <c r="V28" s="14">
        <v>5.38</v>
      </c>
      <c r="W28" s="10">
        <v>6000</v>
      </c>
      <c r="X28" s="10">
        <v>6000</v>
      </c>
      <c r="Y28" s="10">
        <v>0.875</v>
      </c>
      <c r="Z28" s="10">
        <v>400</v>
      </c>
      <c r="AA28" s="10">
        <v>500</v>
      </c>
      <c r="AB28" s="50">
        <v>4</v>
      </c>
      <c r="AC28" s="50">
        <v>114</v>
      </c>
      <c r="AD28" s="50">
        <v>7.8571428571428594</v>
      </c>
      <c r="AE28" s="14">
        <v>18000</v>
      </c>
    </row>
    <row r="29" spans="1:31" x14ac:dyDescent="0.3">
      <c r="A29" s="46" t="s">
        <v>36</v>
      </c>
      <c r="B29" s="47" t="s">
        <v>103</v>
      </c>
      <c r="C29" s="47" t="s">
        <v>108</v>
      </c>
      <c r="D29" s="48">
        <v>1500</v>
      </c>
      <c r="E29" s="48">
        <v>5799</v>
      </c>
      <c r="F29" s="48">
        <v>7300</v>
      </c>
      <c r="G29" s="14">
        <v>0.71664108010692162</v>
      </c>
      <c r="H29" s="14">
        <v>61.933610000000002</v>
      </c>
      <c r="I29" s="14">
        <v>9600</v>
      </c>
      <c r="J29" s="21">
        <v>61.933610000000002</v>
      </c>
      <c r="K29" s="21">
        <v>2.9199999999999999E-3</v>
      </c>
      <c r="L29" s="21">
        <v>-4.5899199999999996E-6</v>
      </c>
      <c r="M29" s="21">
        <v>1.45977E-9</v>
      </c>
      <c r="N29" s="21">
        <v>-1.92291E-13</v>
      </c>
      <c r="O29" s="21">
        <v>8.2753999999999999E-18</v>
      </c>
      <c r="P29" s="21">
        <v>1.6020000000000001</v>
      </c>
      <c r="Q29" s="21">
        <v>4.5583400000000001E-5</v>
      </c>
      <c r="R29" s="21">
        <v>1.06038E-7</v>
      </c>
      <c r="S29" s="21">
        <v>-2.2699600000000002E-11</v>
      </c>
      <c r="T29" s="21">
        <v>1.91469E-15</v>
      </c>
      <c r="U29" s="21">
        <v>-6.6158600000000001E-20</v>
      </c>
      <c r="V29" s="14">
        <v>5.38</v>
      </c>
      <c r="W29" s="10">
        <v>6000</v>
      </c>
      <c r="X29" s="10">
        <v>6000</v>
      </c>
      <c r="Y29" s="10">
        <v>1</v>
      </c>
      <c r="Z29" s="10">
        <v>600</v>
      </c>
      <c r="AA29" s="10">
        <v>750</v>
      </c>
      <c r="AB29" s="50">
        <v>3</v>
      </c>
      <c r="AC29" s="50">
        <v>82</v>
      </c>
      <c r="AD29" s="50">
        <v>5.6428571428571459</v>
      </c>
      <c r="AE29" s="14">
        <v>18000</v>
      </c>
    </row>
    <row r="30" spans="1:31" x14ac:dyDescent="0.3">
      <c r="A30" s="46" t="s">
        <v>36</v>
      </c>
      <c r="B30" s="47" t="s">
        <v>103</v>
      </c>
      <c r="C30" s="47" t="s">
        <v>109</v>
      </c>
      <c r="D30" s="48">
        <v>2000</v>
      </c>
      <c r="E30" s="48">
        <v>7360</v>
      </c>
      <c r="F30" s="48">
        <v>10000</v>
      </c>
      <c r="G30" s="14">
        <v>0.73113499999999998</v>
      </c>
      <c r="H30" s="14">
        <v>63.511560000000003</v>
      </c>
      <c r="I30" s="14">
        <v>12000</v>
      </c>
      <c r="J30" s="21">
        <v>63.510820000000002</v>
      </c>
      <c r="K30" s="21">
        <v>-4.2013099999999998E-3</v>
      </c>
      <c r="L30" s="21">
        <v>6.9897009999999996E-7</v>
      </c>
      <c r="M30" s="21">
        <v>-2.5980030000000002E-11</v>
      </c>
      <c r="N30" s="21">
        <v>-8.5746719999999998E-15</v>
      </c>
      <c r="O30" s="21">
        <v>4.8231649999999996E-19</v>
      </c>
      <c r="P30" s="21">
        <v>2.2991470000000001</v>
      </c>
      <c r="Q30" s="21">
        <v>-1.2255750000000001E-4</v>
      </c>
      <c r="R30" s="21">
        <v>8.1237789999999995E-8</v>
      </c>
      <c r="S30" s="21">
        <v>-5.4051009999999998E-12</v>
      </c>
      <c r="T30" s="21">
        <v>-2.6176169999999998E-16</v>
      </c>
      <c r="U30" s="21">
        <v>2.2319420000000001E-20</v>
      </c>
      <c r="V30" s="14">
        <v>5.38</v>
      </c>
      <c r="W30" s="10">
        <v>6000</v>
      </c>
      <c r="X30" s="10">
        <v>6000</v>
      </c>
      <c r="Y30" s="10">
        <v>1</v>
      </c>
      <c r="Z30" s="10">
        <v>600</v>
      </c>
      <c r="AA30" s="10">
        <v>750</v>
      </c>
      <c r="AB30" s="50">
        <v>3</v>
      </c>
      <c r="AC30" s="50">
        <v>82</v>
      </c>
      <c r="AD30" s="50">
        <v>5.6428571428571459</v>
      </c>
      <c r="AE30" s="14">
        <v>18000</v>
      </c>
    </row>
    <row r="31" spans="1:31" x14ac:dyDescent="0.3">
      <c r="A31" s="46" t="s">
        <v>36</v>
      </c>
      <c r="B31" s="47" t="s">
        <v>103</v>
      </c>
      <c r="C31" s="47" t="s">
        <v>110</v>
      </c>
      <c r="D31" s="48">
        <v>2500</v>
      </c>
      <c r="E31" s="48">
        <v>8850</v>
      </c>
      <c r="F31" s="48">
        <v>10565</v>
      </c>
      <c r="G31" s="14">
        <v>0.72219999999999995</v>
      </c>
      <c r="H31" s="14">
        <v>62.574809999999999</v>
      </c>
      <c r="I31" s="14">
        <v>13600</v>
      </c>
      <c r="J31" s="21">
        <v>62.574809999999999</v>
      </c>
      <c r="K31" s="21">
        <v>-1.5007569999999999E-3</v>
      </c>
      <c r="L31" s="21">
        <v>-1.9673429999999999E-6</v>
      </c>
      <c r="M31" s="21">
        <v>4.9719170000000004E-10</v>
      </c>
      <c r="N31" s="21">
        <v>-4.4293770000000003E-14</v>
      </c>
      <c r="O31" s="21">
        <v>1.2622729999999999E-18</v>
      </c>
      <c r="P31" s="21">
        <v>2.496747</v>
      </c>
      <c r="Q31" s="21">
        <v>4.1136219999999998E-4</v>
      </c>
      <c r="R31" s="21">
        <v>-1.958165E-7</v>
      </c>
      <c r="S31" s="21">
        <v>4.0433709999999999E-11</v>
      </c>
      <c r="T31" s="21">
        <v>-3.4256259999999999E-15</v>
      </c>
      <c r="U31" s="21">
        <v>1.011116E-19</v>
      </c>
      <c r="V31" s="14">
        <v>5.38</v>
      </c>
      <c r="W31" s="10">
        <v>6000</v>
      </c>
      <c r="X31" s="10">
        <v>6000</v>
      </c>
      <c r="Y31" s="10">
        <v>1</v>
      </c>
      <c r="Z31" s="10">
        <v>600</v>
      </c>
      <c r="AA31" s="10">
        <v>750</v>
      </c>
      <c r="AB31" s="50">
        <v>3</v>
      </c>
      <c r="AC31" s="50">
        <v>72</v>
      </c>
      <c r="AD31" s="50">
        <v>4.9285714285714288</v>
      </c>
      <c r="AE31" s="14">
        <v>18000</v>
      </c>
    </row>
    <row r="32" spans="1:31" x14ac:dyDescent="0.3">
      <c r="A32" s="46" t="s">
        <v>36</v>
      </c>
      <c r="B32" s="47" t="s">
        <v>103</v>
      </c>
      <c r="C32" s="47" t="s">
        <v>111</v>
      </c>
      <c r="D32" s="48">
        <v>3000</v>
      </c>
      <c r="E32" s="48">
        <v>11340</v>
      </c>
      <c r="F32" s="48">
        <v>14000</v>
      </c>
      <c r="G32" s="14">
        <v>0.72727699999999995</v>
      </c>
      <c r="H32" s="14">
        <v>50.052500000000002</v>
      </c>
      <c r="I32" s="14">
        <v>16000</v>
      </c>
      <c r="J32" s="21">
        <v>50.052500000000002</v>
      </c>
      <c r="K32" s="21">
        <v>-2.6332090000000001E-3</v>
      </c>
      <c r="L32" s="21">
        <v>-7.0564050000000005E-8</v>
      </c>
      <c r="M32" s="21">
        <v>1.007973E-10</v>
      </c>
      <c r="N32" s="21">
        <v>-1.067702E-14</v>
      </c>
      <c r="O32" s="21">
        <v>3.0141109999999999E-19</v>
      </c>
      <c r="P32" s="21">
        <v>2.952483</v>
      </c>
      <c r="Q32" s="21">
        <v>-2.0018999999999999E-4</v>
      </c>
      <c r="R32" s="21">
        <v>1.1722919999999999E-7</v>
      </c>
      <c r="S32" s="21">
        <v>-1.56608E-11</v>
      </c>
      <c r="T32" s="21">
        <v>9.522853E-16</v>
      </c>
      <c r="U32" s="21">
        <v>-2.294693E-20</v>
      </c>
      <c r="V32" s="14">
        <v>5.38</v>
      </c>
      <c r="W32" s="10">
        <v>6000</v>
      </c>
      <c r="X32" s="10">
        <v>6000</v>
      </c>
      <c r="Y32" s="10">
        <v>1.1879999999999999</v>
      </c>
      <c r="Z32" s="10">
        <v>1000</v>
      </c>
      <c r="AA32" s="10">
        <v>1250</v>
      </c>
      <c r="AB32" s="50">
        <v>2</v>
      </c>
      <c r="AC32" s="50">
        <v>51</v>
      </c>
      <c r="AD32" s="50">
        <v>3.4999999999999969</v>
      </c>
      <c r="AE32" s="14">
        <v>18000</v>
      </c>
    </row>
    <row r="33" spans="1:31" x14ac:dyDescent="0.3">
      <c r="A33" s="46" t="s">
        <v>36</v>
      </c>
      <c r="B33" s="47" t="s">
        <v>103</v>
      </c>
      <c r="C33" s="47" t="s">
        <v>112</v>
      </c>
      <c r="D33" s="48">
        <v>3000</v>
      </c>
      <c r="E33" s="48">
        <v>10912</v>
      </c>
      <c r="F33" s="48">
        <v>14000</v>
      </c>
      <c r="G33" s="14">
        <v>0.72</v>
      </c>
      <c r="H33" s="14">
        <v>66.599999999999994</v>
      </c>
      <c r="I33" s="14">
        <v>16000</v>
      </c>
      <c r="J33" s="21">
        <v>66.59</v>
      </c>
      <c r="K33" s="21">
        <v>-4.2541829835869302E-3</v>
      </c>
      <c r="L33" s="21">
        <v>2.9813228437543E-7</v>
      </c>
      <c r="M33" s="21">
        <v>1.077633304E-11</v>
      </c>
      <c r="N33" s="21">
        <v>-1.9890000000000002E-15</v>
      </c>
      <c r="O33" s="21">
        <v>1.272E-20</v>
      </c>
      <c r="P33" s="21">
        <v>2.4758974356616399</v>
      </c>
      <c r="Q33" s="21">
        <v>-1.15011946367982E-4</v>
      </c>
      <c r="R33" s="21">
        <v>6.8399256991820396E-8</v>
      </c>
      <c r="S33" s="21">
        <v>-2.8423659670560799E-12</v>
      </c>
      <c r="T33" s="21">
        <v>-8.4589889300000004E-17</v>
      </c>
      <c r="U33" s="21">
        <v>2.2035299999999999E-21</v>
      </c>
      <c r="V33" s="14">
        <v>5.38</v>
      </c>
      <c r="W33" s="10">
        <v>5000</v>
      </c>
      <c r="X33" s="10">
        <v>6000</v>
      </c>
      <c r="Y33" s="10">
        <v>1.1879999999999999</v>
      </c>
      <c r="Z33" s="10">
        <v>1000</v>
      </c>
      <c r="AA33" s="10">
        <v>1250</v>
      </c>
      <c r="AB33" s="50">
        <v>3</v>
      </c>
      <c r="AC33" s="50">
        <v>56</v>
      </c>
      <c r="AD33" s="50">
        <v>3.4999999999999969</v>
      </c>
      <c r="AE33" s="14">
        <v>18000</v>
      </c>
    </row>
    <row r="34" spans="1:31" x14ac:dyDescent="0.3">
      <c r="A34" s="46" t="s">
        <v>36</v>
      </c>
      <c r="B34" s="47" t="s">
        <v>113</v>
      </c>
      <c r="C34" s="47" t="s">
        <v>114</v>
      </c>
      <c r="D34" s="48">
        <v>5000</v>
      </c>
      <c r="E34" s="48">
        <v>15040</v>
      </c>
      <c r="F34" s="48">
        <v>18000</v>
      </c>
      <c r="G34" s="14">
        <v>0.69629773338516598</v>
      </c>
      <c r="H34" s="14">
        <v>70.330169999999995</v>
      </c>
      <c r="I34" s="14">
        <v>23000</v>
      </c>
      <c r="J34" s="21">
        <v>71.530169999999998</v>
      </c>
      <c r="K34" s="21">
        <v>-2.6428689999999999E-3</v>
      </c>
      <c r="L34" s="21">
        <v>1.808191E-8</v>
      </c>
      <c r="M34" s="21">
        <v>3.4416560000000001E-11</v>
      </c>
      <c r="N34" s="21">
        <v>-2.6409029999999998E-15</v>
      </c>
      <c r="O34" s="21">
        <v>4.8538600000000002E-20</v>
      </c>
      <c r="P34" s="21">
        <v>4.7058799999999996</v>
      </c>
      <c r="Q34" s="21">
        <v>3.7853859999999997E-5</v>
      </c>
      <c r="R34" s="21">
        <v>7.782971E-9</v>
      </c>
      <c r="S34" s="21">
        <v>2.7518989999999998E-12</v>
      </c>
      <c r="T34" s="21">
        <v>-2.0973740000000001E-16</v>
      </c>
      <c r="U34" s="21">
        <v>3.6525170000000003E-21</v>
      </c>
      <c r="V34" s="14">
        <v>5.62</v>
      </c>
      <c r="W34" s="10">
        <v>6000</v>
      </c>
      <c r="X34" s="10">
        <v>6000</v>
      </c>
      <c r="Y34" s="10">
        <v>1.1879999999999999</v>
      </c>
      <c r="Z34" s="10">
        <v>1000</v>
      </c>
      <c r="AA34" s="10">
        <v>1250</v>
      </c>
      <c r="AB34" s="50">
        <v>2</v>
      </c>
      <c r="AC34" s="50">
        <v>42</v>
      </c>
      <c r="AD34" s="50">
        <v>2.8571428571428572</v>
      </c>
      <c r="AE34" s="14">
        <v>18000</v>
      </c>
    </row>
    <row r="35" spans="1:31" x14ac:dyDescent="0.3">
      <c r="A35" s="46" t="s">
        <v>36</v>
      </c>
      <c r="B35" s="47" t="s">
        <v>113</v>
      </c>
      <c r="C35" s="47" t="s">
        <v>115</v>
      </c>
      <c r="D35" s="48">
        <v>6000</v>
      </c>
      <c r="E35" s="48">
        <v>19662</v>
      </c>
      <c r="F35" s="48">
        <v>25500</v>
      </c>
      <c r="G35" s="14">
        <v>0.70382849462316133</v>
      </c>
      <c r="H35" s="14">
        <v>72.865655799999999</v>
      </c>
      <c r="I35" s="14">
        <v>27000</v>
      </c>
      <c r="J35" s="21">
        <v>72.865655799999999</v>
      </c>
      <c r="K35" s="21">
        <v>-3.53434585E-3</v>
      </c>
      <c r="L35" s="21">
        <v>2.1334212600000001E-7</v>
      </c>
      <c r="M35" s="21">
        <v>-3.3195875999999998E-12</v>
      </c>
      <c r="N35" s="21">
        <v>4.5396456700000002E-17</v>
      </c>
      <c r="O35" s="21">
        <v>-4.9023643800000002E-21</v>
      </c>
      <c r="P35" s="21">
        <v>6.21582422</v>
      </c>
      <c r="Q35" s="21">
        <v>1.4221634200000001E-4</v>
      </c>
      <c r="R35" s="21">
        <v>-2.8938307900000001E-8</v>
      </c>
      <c r="S35" s="21">
        <v>4.3855646400000003E-12</v>
      </c>
      <c r="T35" s="21">
        <v>-1.7880254199999999E-16</v>
      </c>
      <c r="U35" s="21">
        <v>2.1944383899999999E-21</v>
      </c>
      <c r="V35" s="14">
        <v>5.62</v>
      </c>
      <c r="W35" s="10">
        <v>6000</v>
      </c>
      <c r="X35" s="10">
        <v>6000</v>
      </c>
      <c r="Y35" s="10">
        <v>1.1879999999999999</v>
      </c>
      <c r="Z35" s="10">
        <v>1000</v>
      </c>
      <c r="AA35" s="10">
        <v>1250</v>
      </c>
      <c r="AB35" s="50">
        <v>2</v>
      </c>
      <c r="AC35" s="50">
        <v>42</v>
      </c>
      <c r="AD35" s="50">
        <v>2.8571428571428572</v>
      </c>
      <c r="AE35" s="14">
        <v>18000</v>
      </c>
    </row>
    <row r="36" spans="1:31" x14ac:dyDescent="0.3">
      <c r="A36" s="46" t="s">
        <v>36</v>
      </c>
      <c r="B36" s="47" t="s">
        <v>113</v>
      </c>
      <c r="C36" s="47" t="s">
        <v>116</v>
      </c>
      <c r="D36" s="48">
        <v>9000</v>
      </c>
      <c r="E36" s="48">
        <v>29962</v>
      </c>
      <c r="F36" s="48">
        <v>35000</v>
      </c>
      <c r="G36" s="14">
        <v>0.68082849462316097</v>
      </c>
      <c r="H36" s="14">
        <v>55.865655799999999</v>
      </c>
      <c r="I36" s="14">
        <v>37500</v>
      </c>
      <c r="J36" s="21">
        <v>53.637999999999998</v>
      </c>
      <c r="K36" s="21">
        <v>1.8122E-4</v>
      </c>
      <c r="L36" s="21">
        <v>-1.5996000000000001E-7</v>
      </c>
      <c r="M36" s="21">
        <v>1.2403E-11</v>
      </c>
      <c r="N36" s="21">
        <v>-3.2908000000000001E-16</v>
      </c>
      <c r="O36" s="21">
        <v>2.5280000000000001E-21</v>
      </c>
      <c r="P36" s="21">
        <v>4.8851000000000004</v>
      </c>
      <c r="Q36" s="21">
        <v>4.4155000000000003E-4</v>
      </c>
      <c r="R36" s="21">
        <v>-2.5635999999999999E-8</v>
      </c>
      <c r="S36" s="21">
        <v>2.0887000000000002E-12</v>
      </c>
      <c r="T36" s="21">
        <v>-6.5289999999999997E-17</v>
      </c>
      <c r="U36" s="21">
        <v>6.6600000000000002E-22</v>
      </c>
      <c r="V36" s="14">
        <v>5.62</v>
      </c>
      <c r="W36" s="10">
        <v>6000</v>
      </c>
      <c r="X36" s="10">
        <v>6000</v>
      </c>
      <c r="Y36" s="10">
        <v>1.1879999999999999</v>
      </c>
      <c r="Z36" s="10">
        <v>1000</v>
      </c>
      <c r="AA36" s="10">
        <v>1250</v>
      </c>
      <c r="AB36" s="50">
        <v>1</v>
      </c>
      <c r="AC36" s="50">
        <v>38</v>
      </c>
      <c r="AD36" s="50">
        <v>2.8461542857142801</v>
      </c>
      <c r="AE36" s="14">
        <v>18000</v>
      </c>
    </row>
    <row r="37" spans="1:31" x14ac:dyDescent="0.3">
      <c r="A37" s="46" t="s">
        <v>36</v>
      </c>
      <c r="B37" s="47" t="s">
        <v>117</v>
      </c>
      <c r="C37" s="47" t="s">
        <v>118</v>
      </c>
      <c r="D37" s="48">
        <v>750</v>
      </c>
      <c r="E37" s="48">
        <v>8150</v>
      </c>
      <c r="F37" s="48">
        <v>11000</v>
      </c>
      <c r="G37" s="14">
        <v>0.76131000000000004</v>
      </c>
      <c r="H37" s="14">
        <v>103.6</v>
      </c>
      <c r="I37" s="14">
        <v>13000</v>
      </c>
      <c r="J37" s="21">
        <v>103.63455999999999</v>
      </c>
      <c r="K37" s="21">
        <v>3.0603723000000001E-3</v>
      </c>
      <c r="L37" s="21">
        <v>-3.2508172E-6</v>
      </c>
      <c r="M37" s="21">
        <v>6.0039000000000003E-10</v>
      </c>
      <c r="N37" s="21">
        <v>-4.8447000000000002E-14</v>
      </c>
      <c r="O37" s="21">
        <v>1.3298E-18</v>
      </c>
      <c r="P37" s="21">
        <v>3.5253000000000001</v>
      </c>
      <c r="Q37" s="21">
        <v>8.8296000000000002E-4</v>
      </c>
      <c r="R37" s="21">
        <v>-3.8102000000000001E-7</v>
      </c>
      <c r="S37" s="21">
        <v>9.1085999999999997E-11</v>
      </c>
      <c r="T37" s="21">
        <v>-8.9907999999999993E-15</v>
      </c>
      <c r="U37" s="21">
        <v>3.0543000000000002E-19</v>
      </c>
      <c r="V37" s="14">
        <v>6.75</v>
      </c>
      <c r="W37" s="10">
        <v>6000</v>
      </c>
      <c r="X37" s="10">
        <v>6000</v>
      </c>
      <c r="Y37" s="10">
        <v>1.1879999999999999</v>
      </c>
      <c r="Z37" s="10">
        <v>1000</v>
      </c>
      <c r="AA37" s="10">
        <v>1250</v>
      </c>
      <c r="AB37" s="50"/>
      <c r="AC37" s="50"/>
      <c r="AD37" s="50"/>
      <c r="AE37" s="14">
        <v>18000</v>
      </c>
    </row>
    <row r="38" spans="1:31" x14ac:dyDescent="0.3">
      <c r="A38" s="46" t="s">
        <v>36</v>
      </c>
      <c r="B38" s="47" t="s">
        <v>117</v>
      </c>
      <c r="C38" s="47" t="s">
        <v>119</v>
      </c>
      <c r="D38" s="48">
        <v>900</v>
      </c>
      <c r="E38" s="48">
        <v>9560</v>
      </c>
      <c r="F38" s="48">
        <v>13000</v>
      </c>
      <c r="G38" s="14">
        <v>0.7779780580276503</v>
      </c>
      <c r="H38" s="14">
        <v>116.57402999999999</v>
      </c>
      <c r="I38" s="14">
        <v>15000</v>
      </c>
      <c r="J38" s="21">
        <v>116.57402999999999</v>
      </c>
      <c r="K38" s="21">
        <v>7.6696900000000005E-4</v>
      </c>
      <c r="L38" s="21">
        <v>-3.2547400000000002E-7</v>
      </c>
      <c r="M38" s="21">
        <v>-5.9000699999999994E-11</v>
      </c>
      <c r="N38" s="21">
        <v>7.7597999999999996E-15</v>
      </c>
      <c r="O38" s="21">
        <v>-2.64897E-19</v>
      </c>
      <c r="P38" s="21">
        <v>5.6988500000000002</v>
      </c>
      <c r="Q38" s="21">
        <v>-1.6677900000000001E-4</v>
      </c>
      <c r="R38" s="21">
        <v>1.25705E-7</v>
      </c>
      <c r="S38" s="21">
        <v>-1.7985099999999999E-11</v>
      </c>
      <c r="T38" s="21">
        <v>1.29094E-15</v>
      </c>
      <c r="U38" s="21">
        <v>-3.5901699999999998E-20</v>
      </c>
      <c r="V38" s="14">
        <v>6.75</v>
      </c>
      <c r="W38" s="10">
        <v>6000</v>
      </c>
      <c r="X38" s="10">
        <v>6000</v>
      </c>
      <c r="Y38" s="10">
        <v>1.1879999999999999</v>
      </c>
      <c r="Z38" s="10">
        <v>1000</v>
      </c>
      <c r="AA38" s="10">
        <v>1250</v>
      </c>
      <c r="AB38" s="50"/>
      <c r="AC38" s="50"/>
      <c r="AD38" s="50"/>
      <c r="AE38" s="14">
        <v>18000</v>
      </c>
    </row>
    <row r="39" spans="1:31" x14ac:dyDescent="0.3">
      <c r="A39" s="46" t="s">
        <v>36</v>
      </c>
      <c r="B39" s="47" t="s">
        <v>117</v>
      </c>
      <c r="C39" s="47" t="s">
        <v>120</v>
      </c>
      <c r="D39" s="48">
        <v>1125</v>
      </c>
      <c r="E39" s="48">
        <v>12544</v>
      </c>
      <c r="F39" s="48">
        <v>17000</v>
      </c>
      <c r="G39" s="14">
        <v>0.79595561263648396</v>
      </c>
      <c r="H39" s="14">
        <v>103.488541</v>
      </c>
      <c r="I39" s="14">
        <v>23200</v>
      </c>
      <c r="J39" s="21">
        <v>103.488541</v>
      </c>
      <c r="K39" s="21">
        <v>1.19322598E-3</v>
      </c>
      <c r="L39" s="21">
        <v>-4.9138028700000003E-7</v>
      </c>
      <c r="M39" s="21">
        <v>4.67590499E-11</v>
      </c>
      <c r="N39" s="21">
        <v>-2.4838489100000001E-15</v>
      </c>
      <c r="O39" s="21">
        <v>4.0479587200000001E-20</v>
      </c>
      <c r="P39" s="21">
        <v>4.9532778799999999</v>
      </c>
      <c r="Q39" s="21">
        <v>4.5712319999999999E-4</v>
      </c>
      <c r="R39" s="21">
        <v>-2.8249851899999999E-8</v>
      </c>
      <c r="S39" s="21">
        <v>3.8011198599999999E-12</v>
      </c>
      <c r="T39" s="21">
        <v>-2.0038459199999999E-16</v>
      </c>
      <c r="U39" s="21">
        <v>3.2479513500000001E-21</v>
      </c>
      <c r="V39" s="14">
        <v>6.75</v>
      </c>
      <c r="W39" s="10">
        <v>6000</v>
      </c>
      <c r="X39" s="10">
        <v>6000</v>
      </c>
      <c r="Y39" s="10">
        <v>1.1879999999999999</v>
      </c>
      <c r="Z39" s="10">
        <v>1000</v>
      </c>
      <c r="AA39" s="10">
        <v>1250</v>
      </c>
      <c r="AB39" s="50"/>
      <c r="AC39" s="50"/>
      <c r="AD39" s="50"/>
      <c r="AE39" s="14">
        <v>18000</v>
      </c>
    </row>
    <row r="40" spans="1:31" x14ac:dyDescent="0.3">
      <c r="A40" s="46" t="s">
        <v>36</v>
      </c>
      <c r="B40" s="47" t="s">
        <v>117</v>
      </c>
      <c r="C40" s="47" t="s">
        <v>121</v>
      </c>
      <c r="D40" s="48">
        <v>1800</v>
      </c>
      <c r="E40" s="48">
        <v>15894</v>
      </c>
      <c r="F40" s="48">
        <v>19000</v>
      </c>
      <c r="G40" s="14">
        <v>0.71942042407173079</v>
      </c>
      <c r="H40" s="14">
        <v>92.517899999999997</v>
      </c>
      <c r="I40" s="14">
        <v>22000</v>
      </c>
      <c r="J40" s="21">
        <v>92.517899999999997</v>
      </c>
      <c r="K40" s="21">
        <v>4.0165600000000002E-4</v>
      </c>
      <c r="L40" s="21">
        <v>-2.64292E-7</v>
      </c>
      <c r="M40" s="21">
        <v>1.7094000000000001E-11</v>
      </c>
      <c r="N40" s="21">
        <v>-6.7489999999999998E-16</v>
      </c>
      <c r="O40" s="21">
        <v>7.6473599999999998E-21</v>
      </c>
      <c r="P40" s="21">
        <v>7.3967700000000001</v>
      </c>
      <c r="Q40" s="21">
        <v>1.1080499999999999E-4</v>
      </c>
      <c r="R40" s="21">
        <v>-4.4919600000000003E-9</v>
      </c>
      <c r="S40" s="21">
        <v>3.1472099999999999E-12</v>
      </c>
      <c r="T40" s="21">
        <v>-2.2764899999999999E-16</v>
      </c>
      <c r="U40" s="21">
        <v>4.4381699999999999E-21</v>
      </c>
      <c r="V40" s="14">
        <v>6.75</v>
      </c>
      <c r="W40" s="10">
        <v>6000</v>
      </c>
      <c r="X40" s="10">
        <v>6000</v>
      </c>
      <c r="Y40" s="10">
        <v>1.1879999999999999</v>
      </c>
      <c r="Z40" s="10">
        <v>1000</v>
      </c>
      <c r="AA40" s="10">
        <v>1250</v>
      </c>
      <c r="AB40" s="50"/>
      <c r="AC40" s="50"/>
      <c r="AD40" s="50"/>
      <c r="AE40" s="14">
        <v>18000</v>
      </c>
    </row>
    <row r="41" spans="1:31" x14ac:dyDescent="0.3">
      <c r="A41" s="46" t="s">
        <v>36</v>
      </c>
      <c r="B41" s="47" t="s">
        <v>122</v>
      </c>
      <c r="C41" s="47" t="s">
        <v>123</v>
      </c>
      <c r="D41" s="48">
        <v>2100</v>
      </c>
      <c r="E41" s="48">
        <v>18250</v>
      </c>
      <c r="F41" s="48">
        <v>24000</v>
      </c>
      <c r="G41" s="14">
        <v>0.79671732559095088</v>
      </c>
      <c r="H41" s="14">
        <v>147.357032</v>
      </c>
      <c r="I41" s="14">
        <v>36000</v>
      </c>
      <c r="J41" s="21">
        <v>147.357032</v>
      </c>
      <c r="K41" s="21">
        <v>-2.5826819799999999E-3</v>
      </c>
      <c r="L41" s="21">
        <v>1.4644751899999999E-7</v>
      </c>
      <c r="M41" s="21">
        <v>-9.3622914500000001E-12</v>
      </c>
      <c r="N41" s="21">
        <v>1.18481554E-16</v>
      </c>
      <c r="O41" s="21">
        <v>-4.4478858000000003E-23</v>
      </c>
      <c r="P41" s="21">
        <v>13.8360482</v>
      </c>
      <c r="Q41" s="21">
        <v>-3.6943026899999997E-4</v>
      </c>
      <c r="R41" s="21">
        <v>6.2235829199999994E-8</v>
      </c>
      <c r="S41" s="21">
        <v>-2.0730163899999998E-12</v>
      </c>
      <c r="T41" s="21">
        <v>2.7416339400000001E-17</v>
      </c>
      <c r="U41" s="21">
        <v>-2.7341720600000002E-22</v>
      </c>
      <c r="V41" s="14">
        <v>8.6199999999999992</v>
      </c>
      <c r="W41" s="10">
        <v>6000</v>
      </c>
      <c r="X41" s="10">
        <v>6000</v>
      </c>
      <c r="Y41" s="10">
        <v>1.375</v>
      </c>
      <c r="Z41" s="10">
        <v>1345</v>
      </c>
      <c r="AA41" s="10">
        <v>1680</v>
      </c>
      <c r="AB41" s="50"/>
      <c r="AC41" s="50"/>
      <c r="AD41" s="50"/>
      <c r="AE41" s="14">
        <v>22000</v>
      </c>
    </row>
    <row r="42" spans="1:31" x14ac:dyDescent="0.3">
      <c r="A42" s="46" t="s">
        <v>36</v>
      </c>
      <c r="B42" s="47" t="s">
        <v>122</v>
      </c>
      <c r="C42" s="47" t="s">
        <v>124</v>
      </c>
      <c r="D42" s="48">
        <v>1950</v>
      </c>
      <c r="E42" s="48">
        <v>18000</v>
      </c>
      <c r="F42" s="48">
        <v>23000</v>
      </c>
      <c r="G42" s="14">
        <v>0.7788408535684378</v>
      </c>
      <c r="H42" s="14">
        <v>123.25</v>
      </c>
      <c r="I42" s="14">
        <v>29500</v>
      </c>
      <c r="J42" s="21">
        <v>123.25</v>
      </c>
      <c r="K42" s="21">
        <v>-1.5176098999999999E-3</v>
      </c>
      <c r="L42" s="21">
        <v>-3.2930358299999998E-8</v>
      </c>
      <c r="M42" s="21">
        <v>2.15532815E-12</v>
      </c>
      <c r="N42" s="21">
        <v>-1.89827471E-16</v>
      </c>
      <c r="O42" s="21">
        <v>2.6450400000000001E-21</v>
      </c>
      <c r="P42" s="21">
        <v>11.3356704</v>
      </c>
      <c r="Q42" s="21">
        <v>-3.1530908599999998E-4</v>
      </c>
      <c r="R42" s="21">
        <v>6.6716230000000001E-8</v>
      </c>
      <c r="S42" s="21">
        <v>-3.4039274900000001E-12</v>
      </c>
      <c r="T42" s="21">
        <v>8.2853948099999996E-17</v>
      </c>
      <c r="U42" s="21">
        <v>-1.0763093200000001E-21</v>
      </c>
      <c r="V42" s="14">
        <v>8.6199999999999992</v>
      </c>
      <c r="W42" s="10">
        <v>6000</v>
      </c>
      <c r="X42" s="10">
        <v>6000</v>
      </c>
      <c r="Y42" s="10">
        <v>1.375</v>
      </c>
      <c r="Z42" s="10">
        <v>1345</v>
      </c>
      <c r="AA42" s="10">
        <v>1680</v>
      </c>
      <c r="AB42" s="50"/>
      <c r="AC42" s="50"/>
      <c r="AD42" s="50"/>
      <c r="AE42" s="14">
        <v>22000</v>
      </c>
    </row>
    <row r="43" spans="1:31" x14ac:dyDescent="0.3">
      <c r="A43" s="46" t="s">
        <v>36</v>
      </c>
      <c r="B43" s="47" t="s">
        <v>122</v>
      </c>
      <c r="C43" s="47" t="s">
        <v>125</v>
      </c>
      <c r="D43" s="48">
        <v>1875</v>
      </c>
      <c r="E43" s="48">
        <v>16100</v>
      </c>
      <c r="F43" s="48">
        <v>22500</v>
      </c>
      <c r="G43" s="14">
        <v>0.70315537045079157</v>
      </c>
      <c r="H43" s="14">
        <v>100.080474</v>
      </c>
      <c r="I43" s="14">
        <v>26000</v>
      </c>
      <c r="J43" s="21">
        <v>100.080474</v>
      </c>
      <c r="K43" s="21">
        <v>-4.8332200000000001E-4</v>
      </c>
      <c r="L43" s="21">
        <v>6.8330199999999996E-9</v>
      </c>
      <c r="M43" s="21">
        <v>-9.5445999999999995E-12</v>
      </c>
      <c r="N43" s="21">
        <v>3.2990799999999999E-16</v>
      </c>
      <c r="O43" s="21">
        <v>-4.0759099999999997E-21</v>
      </c>
      <c r="P43" s="21">
        <v>9.87068206</v>
      </c>
      <c r="Q43" s="21">
        <v>-9.8355899999999998E-5</v>
      </c>
      <c r="R43" s="21">
        <v>3.17885E-8</v>
      </c>
      <c r="S43" s="21">
        <v>-1.57667E-12</v>
      </c>
      <c r="T43" s="21">
        <v>5.1118699999999999E-17</v>
      </c>
      <c r="U43" s="21">
        <v>-1.16551E-21</v>
      </c>
      <c r="V43" s="14">
        <v>8.6199999999999992</v>
      </c>
      <c r="W43" s="10">
        <v>6000</v>
      </c>
      <c r="X43" s="10">
        <v>6000</v>
      </c>
      <c r="Y43" s="10">
        <v>1.375</v>
      </c>
      <c r="Z43" s="10">
        <v>1345</v>
      </c>
      <c r="AA43" s="10">
        <v>1680</v>
      </c>
      <c r="AB43" s="50"/>
      <c r="AC43" s="50"/>
      <c r="AD43" s="50"/>
      <c r="AE43" s="14">
        <v>22000</v>
      </c>
    </row>
    <row r="44" spans="1:31" x14ac:dyDescent="0.3">
      <c r="A44" s="46" t="s">
        <v>36</v>
      </c>
      <c r="B44" s="47" t="s">
        <v>122</v>
      </c>
      <c r="C44" s="47" t="s">
        <v>126</v>
      </c>
      <c r="D44" s="48">
        <v>2100</v>
      </c>
      <c r="E44" s="48">
        <v>22190</v>
      </c>
      <c r="F44" s="48">
        <v>32000</v>
      </c>
      <c r="G44" s="14">
        <v>0.75926001696049672</v>
      </c>
      <c r="H44" s="14">
        <v>157.51419999999999</v>
      </c>
      <c r="I44" s="14">
        <v>35000</v>
      </c>
      <c r="J44" s="21">
        <v>157.51419999999999</v>
      </c>
      <c r="K44" s="21">
        <v>-1.1900000000000001E-3</v>
      </c>
      <c r="L44" s="21">
        <v>3.5600000000000001E-7</v>
      </c>
      <c r="M44" s="21">
        <v>-3.5800000000000002E-11</v>
      </c>
      <c r="N44" s="21">
        <v>1.2199999999999999E-15</v>
      </c>
      <c r="O44" s="21">
        <v>-1.5000000000000001E-20</v>
      </c>
      <c r="P44" s="21">
        <v>17.434999999999999</v>
      </c>
      <c r="Q44" s="21">
        <v>1.63E-4</v>
      </c>
      <c r="R44" s="21">
        <v>7.6700000000000002E-9</v>
      </c>
      <c r="S44" s="21">
        <v>1.27E-12</v>
      </c>
      <c r="T44" s="21">
        <v>-5.7300000000000002E-17</v>
      </c>
      <c r="U44" s="21">
        <v>5.9399999999999998E-22</v>
      </c>
      <c r="V44" s="14">
        <v>8.6199999999999992</v>
      </c>
      <c r="W44" s="10">
        <v>6000</v>
      </c>
      <c r="X44" s="10">
        <v>6000</v>
      </c>
      <c r="Y44" s="10">
        <v>1.375</v>
      </c>
      <c r="Z44" s="10">
        <v>1345</v>
      </c>
      <c r="AA44" s="10">
        <v>1680</v>
      </c>
      <c r="AB44" s="50"/>
      <c r="AC44" s="50"/>
      <c r="AD44" s="50"/>
      <c r="AE44" s="14">
        <v>22000</v>
      </c>
    </row>
    <row r="45" spans="1:31" x14ac:dyDescent="0.3">
      <c r="A45" s="46" t="s">
        <v>36</v>
      </c>
      <c r="B45" s="47" t="s">
        <v>122</v>
      </c>
      <c r="C45" s="47" t="s">
        <v>127</v>
      </c>
      <c r="D45" s="48">
        <v>3000</v>
      </c>
      <c r="E45" s="48">
        <v>23285</v>
      </c>
      <c r="F45" s="48">
        <v>29000</v>
      </c>
      <c r="G45" s="14">
        <v>0.71136212181715441</v>
      </c>
      <c r="H45" s="14">
        <v>125.242339</v>
      </c>
      <c r="I45" s="14">
        <v>36000</v>
      </c>
      <c r="J45" s="21">
        <v>125.242339</v>
      </c>
      <c r="K45" s="21">
        <v>5.6722259700000004E-4</v>
      </c>
      <c r="L45" s="21">
        <v>-6.8416784400000001E-8</v>
      </c>
      <c r="M45" s="21">
        <v>5.0676716499999997E-13</v>
      </c>
      <c r="N45" s="21">
        <v>-1.50874395E-17</v>
      </c>
      <c r="O45" s="21">
        <v>1.07080053E-22</v>
      </c>
      <c r="P45" s="21">
        <v>14.359200299999999</v>
      </c>
      <c r="Q45" s="21">
        <v>-6.5395188999999997E-4</v>
      </c>
      <c r="R45" s="21">
        <v>1.7371053100000001E-7</v>
      </c>
      <c r="S45" s="21">
        <v>-1.03663495E-11</v>
      </c>
      <c r="T45" s="21">
        <v>2.7836682600000002E-16</v>
      </c>
      <c r="U45" s="21">
        <v>-2.8093652499999999E-21</v>
      </c>
      <c r="V45" s="14">
        <v>8.6199999999999992</v>
      </c>
      <c r="W45" s="10">
        <v>6000</v>
      </c>
      <c r="X45" s="10">
        <v>6000</v>
      </c>
      <c r="Y45" s="10">
        <v>1.375</v>
      </c>
      <c r="Z45" s="10">
        <v>1345</v>
      </c>
      <c r="AA45" s="10">
        <v>1680</v>
      </c>
      <c r="AB45" s="50"/>
      <c r="AC45" s="50"/>
      <c r="AD45" s="50"/>
      <c r="AE45" s="14">
        <v>22000</v>
      </c>
    </row>
    <row r="46" spans="1:31" x14ac:dyDescent="0.3">
      <c r="A46" s="46" t="s">
        <v>36</v>
      </c>
      <c r="B46" s="47" t="s">
        <v>122</v>
      </c>
      <c r="C46" s="47" t="s">
        <v>128</v>
      </c>
      <c r="D46" s="48">
        <v>2925</v>
      </c>
      <c r="E46" s="48">
        <v>21345</v>
      </c>
      <c r="F46" s="48">
        <v>28500</v>
      </c>
      <c r="G46" s="14">
        <v>0.7378682708010591</v>
      </c>
      <c r="H46" s="14">
        <v>100.042276</v>
      </c>
      <c r="I46" s="14">
        <v>36000</v>
      </c>
      <c r="J46" s="21">
        <v>100.042276</v>
      </c>
      <c r="K46" s="21">
        <v>1.02279885E-3</v>
      </c>
      <c r="L46" s="21">
        <v>-2.1914889900000001E-8</v>
      </c>
      <c r="M46" s="21">
        <v>-5.5303187299999997E-12</v>
      </c>
      <c r="N46" s="21">
        <v>1.92319582E-16</v>
      </c>
      <c r="O46" s="21">
        <v>-2.30243496E-21</v>
      </c>
      <c r="P46" s="21">
        <v>11.3311081</v>
      </c>
      <c r="Q46" s="21">
        <v>1.28830502E-4</v>
      </c>
      <c r="R46" s="21">
        <v>1.7307323099999999E-8</v>
      </c>
      <c r="S46" s="21">
        <v>-1.9616030799999999E-13</v>
      </c>
      <c r="T46" s="21">
        <v>-9.66136324E-18</v>
      </c>
      <c r="U46" s="21">
        <v>1.4175449399999999E-22</v>
      </c>
      <c r="V46" s="14">
        <v>8.6199999999999992</v>
      </c>
      <c r="W46" s="10">
        <v>6000</v>
      </c>
      <c r="X46" s="10">
        <v>6000</v>
      </c>
      <c r="Y46" s="10">
        <v>1.375</v>
      </c>
      <c r="Z46" s="10">
        <v>1345</v>
      </c>
      <c r="AA46" s="10">
        <v>1680</v>
      </c>
      <c r="AB46" s="50"/>
      <c r="AC46" s="50"/>
      <c r="AD46" s="50"/>
      <c r="AE46" s="14">
        <v>22000</v>
      </c>
    </row>
    <row r="47" spans="1:31" x14ac:dyDescent="0.3">
      <c r="A47" s="46" t="s">
        <v>36</v>
      </c>
      <c r="B47" s="47" t="s">
        <v>129</v>
      </c>
      <c r="C47" s="47" t="s">
        <v>130</v>
      </c>
      <c r="D47" s="48">
        <v>4650</v>
      </c>
      <c r="E47" s="48">
        <v>37440</v>
      </c>
      <c r="F47" s="48">
        <v>45000</v>
      </c>
      <c r="G47" s="14">
        <v>0.72309797738104409</v>
      </c>
      <c r="H47" s="14">
        <v>214.88434599999999</v>
      </c>
      <c r="I47" s="14">
        <v>55000</v>
      </c>
      <c r="J47" s="21">
        <v>214.88434599999999</v>
      </c>
      <c r="K47" s="21">
        <v>-1.1581317699999999E-3</v>
      </c>
      <c r="L47" s="21">
        <v>-4.7230317899999999E-9</v>
      </c>
      <c r="M47" s="21">
        <v>6.8999882400000005E-13</v>
      </c>
      <c r="N47" s="21">
        <v>-3.4470604600000003E-17</v>
      </c>
      <c r="O47" s="21">
        <v>2.6565832299999999E-22</v>
      </c>
      <c r="P47" s="21">
        <v>39.955131999999999</v>
      </c>
      <c r="Q47" s="21">
        <v>5.7021005500000003E-4</v>
      </c>
      <c r="R47" s="21">
        <v>-1.09064144E-7</v>
      </c>
      <c r="S47" s="21">
        <v>7.5245651699999999E-12</v>
      </c>
      <c r="T47" s="21">
        <v>-1.7168607199999999E-16</v>
      </c>
      <c r="U47" s="21">
        <v>1.25391004E-21</v>
      </c>
      <c r="V47" s="14">
        <v>9.5</v>
      </c>
      <c r="W47" s="10">
        <v>6000</v>
      </c>
      <c r="X47" s="10">
        <v>6000</v>
      </c>
      <c r="Y47" s="10">
        <v>1.5</v>
      </c>
      <c r="Z47" s="10">
        <v>1600</v>
      </c>
      <c r="AA47" s="10">
        <v>2000</v>
      </c>
      <c r="AB47" s="50"/>
      <c r="AC47" s="50"/>
      <c r="AD47" s="50"/>
      <c r="AE47" s="14">
        <v>65000</v>
      </c>
    </row>
    <row r="48" spans="1:31" x14ac:dyDescent="0.3">
      <c r="A48" s="46" t="s">
        <v>36</v>
      </c>
      <c r="B48" s="47" t="s">
        <v>129</v>
      </c>
      <c r="C48" s="47" t="s">
        <v>131</v>
      </c>
      <c r="D48" s="48">
        <v>4200</v>
      </c>
      <c r="E48" s="48">
        <v>35875</v>
      </c>
      <c r="F48" s="48">
        <v>43000</v>
      </c>
      <c r="G48" s="14">
        <v>0.7445936542442475</v>
      </c>
      <c r="H48" s="14">
        <v>178.73209399999999</v>
      </c>
      <c r="I48" s="14">
        <v>55000</v>
      </c>
      <c r="J48" s="21">
        <v>178.73209399999999</v>
      </c>
      <c r="K48" s="21">
        <v>-1.1541499E-3</v>
      </c>
      <c r="L48" s="21">
        <v>5.2374183200000002E-8</v>
      </c>
      <c r="M48" s="21">
        <v>-3.02058741E-12</v>
      </c>
      <c r="N48" s="21">
        <v>4.65166058E-17</v>
      </c>
      <c r="O48" s="21">
        <v>-3.2630799699999998E-22</v>
      </c>
      <c r="P48" s="21">
        <v>30.541554900000001</v>
      </c>
      <c r="Q48" s="21">
        <v>4.3477522100000002E-4</v>
      </c>
      <c r="R48" s="21">
        <v>-7.1077014800000002E-9</v>
      </c>
      <c r="S48" s="21">
        <v>6.0138671799999997E-13</v>
      </c>
      <c r="T48" s="21">
        <v>-1.7502427500000001E-17</v>
      </c>
      <c r="U48" s="21">
        <v>1.3096348699999999E-22</v>
      </c>
      <c r="V48" s="14">
        <v>9.5</v>
      </c>
      <c r="W48" s="10">
        <v>6000</v>
      </c>
      <c r="X48" s="10">
        <v>6000</v>
      </c>
      <c r="Y48" s="10">
        <v>1.5</v>
      </c>
      <c r="Z48" s="10">
        <v>1600</v>
      </c>
      <c r="AA48" s="10">
        <v>2000</v>
      </c>
      <c r="AB48" s="50"/>
      <c r="AC48" s="50"/>
      <c r="AD48" s="50"/>
      <c r="AE48" s="14">
        <v>65000</v>
      </c>
    </row>
    <row r="49" spans="1:31" x14ac:dyDescent="0.3">
      <c r="A49" s="46" t="s">
        <v>36</v>
      </c>
      <c r="B49" s="47" t="s">
        <v>129</v>
      </c>
      <c r="C49" s="47" t="s">
        <v>132</v>
      </c>
      <c r="D49" s="48">
        <v>3825</v>
      </c>
      <c r="E49" s="48">
        <v>31960</v>
      </c>
      <c r="F49" s="48">
        <v>39000</v>
      </c>
      <c r="G49" s="14">
        <v>0.71912435218804449</v>
      </c>
      <c r="H49" s="14">
        <v>150.292642</v>
      </c>
      <c r="I49" s="14">
        <v>50000</v>
      </c>
      <c r="J49" s="21">
        <v>150.292642</v>
      </c>
      <c r="K49" s="21">
        <v>-6.3653983400000001E-4</v>
      </c>
      <c r="L49" s="21">
        <v>-1.6743971000000002E-8</v>
      </c>
      <c r="M49" s="21">
        <v>6.21740103E-13</v>
      </c>
      <c r="N49" s="21">
        <v>-3.7328899000000001E-17</v>
      </c>
      <c r="O49" s="21">
        <v>3.3367819799999999E-22</v>
      </c>
      <c r="P49" s="21">
        <v>25.085564000000002</v>
      </c>
      <c r="Q49" s="21">
        <v>3.8000910700000001E-4</v>
      </c>
      <c r="R49" s="21">
        <v>-5.4105432200000003E-8</v>
      </c>
      <c r="S49" s="21">
        <v>4.2397918799999998E-12</v>
      </c>
      <c r="T49" s="21">
        <v>-1.1198428899999999E-16</v>
      </c>
      <c r="U49" s="21">
        <v>9.26119358E-22</v>
      </c>
      <c r="V49" s="14">
        <v>9.5</v>
      </c>
      <c r="W49" s="10">
        <v>6000</v>
      </c>
      <c r="X49" s="10">
        <v>6000</v>
      </c>
      <c r="Y49" s="10">
        <v>1.5</v>
      </c>
      <c r="Z49" s="10">
        <v>1600</v>
      </c>
      <c r="AA49" s="10">
        <v>2000</v>
      </c>
      <c r="AB49" s="50"/>
      <c r="AC49" s="50"/>
      <c r="AD49" s="50"/>
      <c r="AE49" s="14">
        <v>65000</v>
      </c>
    </row>
    <row r="50" spans="1:31" x14ac:dyDescent="0.3">
      <c r="A50" s="46" t="s">
        <v>36</v>
      </c>
      <c r="B50" s="47" t="s">
        <v>133</v>
      </c>
      <c r="C50" s="47" t="s">
        <v>134</v>
      </c>
      <c r="D50" s="48">
        <v>3600</v>
      </c>
      <c r="E50" s="48">
        <v>33990</v>
      </c>
      <c r="F50" s="48">
        <v>42000</v>
      </c>
      <c r="G50" s="14">
        <v>0.8</v>
      </c>
      <c r="H50" s="14">
        <v>228.59</v>
      </c>
      <c r="I50" s="14">
        <v>56500</v>
      </c>
      <c r="J50" s="21">
        <v>228.589</v>
      </c>
      <c r="K50" s="21">
        <v>-1.5795799999999999E-3</v>
      </c>
      <c r="L50" s="21">
        <v>1.2536699999999999E-7</v>
      </c>
      <c r="M50" s="21">
        <v>-8.6778599999999999E-12</v>
      </c>
      <c r="N50" s="21">
        <v>1.9566199999999999E-16</v>
      </c>
      <c r="O50" s="21">
        <v>-1.6810100000000001E-21</v>
      </c>
      <c r="P50" s="21">
        <v>27.9695</v>
      </c>
      <c r="Q50" s="21">
        <v>1.05752E-4</v>
      </c>
      <c r="R50" s="21">
        <v>5.7314400000000001E-8</v>
      </c>
      <c r="S50" s="21">
        <v>-1.7262200000000001E-12</v>
      </c>
      <c r="T50" s="21">
        <v>1.9190700000000001E-17</v>
      </c>
      <c r="U50" s="21">
        <v>-9.8033399999999998E-23</v>
      </c>
      <c r="V50" s="14">
        <v>10</v>
      </c>
      <c r="W50" s="10">
        <v>6000</v>
      </c>
      <c r="X50" s="10">
        <v>6000</v>
      </c>
      <c r="Y50" s="10">
        <v>1.5</v>
      </c>
      <c r="Z50" s="10">
        <v>1600</v>
      </c>
      <c r="AA50" s="10">
        <v>2000</v>
      </c>
      <c r="AB50" s="50"/>
      <c r="AC50" s="50"/>
      <c r="AD50" s="50"/>
      <c r="AE50" s="14">
        <v>65000</v>
      </c>
    </row>
    <row r="51" spans="1:31" x14ac:dyDescent="0.3">
      <c r="A51" s="46" t="s">
        <v>36</v>
      </c>
      <c r="B51" s="47" t="s">
        <v>133</v>
      </c>
      <c r="C51" s="47" t="s">
        <v>135</v>
      </c>
      <c r="D51" s="48">
        <v>4500</v>
      </c>
      <c r="E51" s="48">
        <v>38900</v>
      </c>
      <c r="F51" s="48">
        <v>50000</v>
      </c>
      <c r="G51" s="14">
        <v>0.8</v>
      </c>
      <c r="H51" s="14">
        <v>216.16</v>
      </c>
      <c r="I51" s="14">
        <v>70000</v>
      </c>
      <c r="J51" s="21">
        <v>213.16380000000001</v>
      </c>
      <c r="K51" s="21">
        <v>-3.5018099999999997E-4</v>
      </c>
      <c r="L51" s="21">
        <v>4.5875699999999997E-8</v>
      </c>
      <c r="M51" s="21">
        <v>-3.11856E-12</v>
      </c>
      <c r="N51" s="21">
        <v>4.7410099999999997E-17</v>
      </c>
      <c r="O51" s="21">
        <v>-2.86451E-22</v>
      </c>
      <c r="P51" s="21">
        <v>31.320920000000001</v>
      </c>
      <c r="Q51" s="21">
        <v>3.6857699999999998E-4</v>
      </c>
      <c r="R51" s="21">
        <v>2.5883199999999998E-8</v>
      </c>
      <c r="S51" s="21">
        <v>-3.1281399999999999E-13</v>
      </c>
      <c r="T51" s="21">
        <v>-5.1849099999999998E-18</v>
      </c>
      <c r="U51" s="21">
        <v>6.2599400000000002E-23</v>
      </c>
      <c r="V51" s="14">
        <v>10</v>
      </c>
      <c r="W51" s="10">
        <v>6000</v>
      </c>
      <c r="X51" s="10">
        <v>6000</v>
      </c>
      <c r="Y51" s="10">
        <v>1.5</v>
      </c>
      <c r="Z51" s="10">
        <v>1600</v>
      </c>
      <c r="AA51" s="10">
        <v>2000</v>
      </c>
      <c r="AB51" s="50"/>
      <c r="AC51" s="50"/>
      <c r="AD51" s="50"/>
      <c r="AE51" s="14">
        <v>65000</v>
      </c>
    </row>
    <row r="52" spans="1:31" x14ac:dyDescent="0.3">
      <c r="A52" s="46" t="s">
        <v>36</v>
      </c>
      <c r="B52" s="47" t="s">
        <v>136</v>
      </c>
      <c r="C52" s="47" t="s">
        <v>137</v>
      </c>
      <c r="D52" s="48">
        <v>4125</v>
      </c>
      <c r="E52" s="48">
        <v>57465</v>
      </c>
      <c r="F52" s="48">
        <v>80000</v>
      </c>
      <c r="G52" s="14">
        <v>0.8306</v>
      </c>
      <c r="H52" s="14">
        <v>284.44</v>
      </c>
      <c r="I52" s="14">
        <v>85000</v>
      </c>
      <c r="J52" s="21">
        <v>284.62962929999998</v>
      </c>
      <c r="K52" s="21">
        <v>-4.0999999999999999E-4</v>
      </c>
      <c r="L52" s="21">
        <v>4.2700000000000004E-9</v>
      </c>
      <c r="M52" s="21">
        <v>1.77E-13</v>
      </c>
      <c r="N52" s="21">
        <v>-1.1E-17</v>
      </c>
      <c r="O52" s="21">
        <v>7.3E-23</v>
      </c>
      <c r="P52" s="21">
        <v>76.66122</v>
      </c>
      <c r="Q52" s="21">
        <v>-8.8000000000000003E-4</v>
      </c>
      <c r="R52" s="21">
        <v>3.6300000000000001E-8</v>
      </c>
      <c r="S52" s="21">
        <v>5.6300000000000002E-13</v>
      </c>
      <c r="T52" s="21">
        <v>-1.8E-17</v>
      </c>
      <c r="U52" s="21">
        <v>1.05E-22</v>
      </c>
      <c r="V52" s="14">
        <v>11</v>
      </c>
      <c r="W52" s="10">
        <v>6000</v>
      </c>
      <c r="X52" s="10">
        <v>6000</v>
      </c>
      <c r="Y52" s="10">
        <v>1.5</v>
      </c>
      <c r="Z52" s="10">
        <v>1600</v>
      </c>
      <c r="AA52" s="10">
        <v>2000</v>
      </c>
      <c r="AB52" s="50"/>
      <c r="AC52" s="50"/>
      <c r="AD52" s="50"/>
      <c r="AE52" s="14">
        <v>65000</v>
      </c>
    </row>
    <row r="53" spans="1:31" x14ac:dyDescent="0.3">
      <c r="A53" s="46" t="s">
        <v>36</v>
      </c>
      <c r="B53" s="47" t="s">
        <v>103</v>
      </c>
      <c r="C53" s="47" t="s">
        <v>138</v>
      </c>
      <c r="D53" s="48">
        <v>650</v>
      </c>
      <c r="E53" s="48">
        <v>1600</v>
      </c>
      <c r="F53" s="48">
        <v>2200</v>
      </c>
      <c r="G53" s="14">
        <v>0.62</v>
      </c>
      <c r="H53" s="14">
        <v>60</v>
      </c>
      <c r="I53" s="14">
        <v>2700</v>
      </c>
      <c r="J53" s="21">
        <v>59.9833</v>
      </c>
      <c r="K53" s="21">
        <v>5.5227599999999998E-4</v>
      </c>
      <c r="L53" s="21">
        <v>-8.5765399999999994E-6</v>
      </c>
      <c r="M53" s="21">
        <v>1.2460499999999999E-8</v>
      </c>
      <c r="N53" s="21">
        <v>-8.4337400000000008E-12</v>
      </c>
      <c r="O53" s="21">
        <v>1.43229E-15</v>
      </c>
      <c r="P53" s="21">
        <v>0.51566800000000002</v>
      </c>
      <c r="Q53" s="21">
        <v>5.2115199999999999E-4</v>
      </c>
      <c r="R53" s="21">
        <v>-6.3535500000000001E-7</v>
      </c>
      <c r="S53" s="21">
        <v>6.8745299999999996E-10</v>
      </c>
      <c r="T53" s="21">
        <v>-3.2450699999999998E-13</v>
      </c>
      <c r="U53" s="21">
        <v>5.13972E-17</v>
      </c>
      <c r="V53" s="14">
        <v>5.38</v>
      </c>
      <c r="W53" s="10">
        <v>6000</v>
      </c>
      <c r="X53" s="10">
        <v>6000</v>
      </c>
      <c r="Y53" s="20">
        <v>0.875</v>
      </c>
      <c r="Z53" s="10">
        <v>250</v>
      </c>
      <c r="AA53" s="10">
        <v>500</v>
      </c>
      <c r="AB53" s="50">
        <v>4</v>
      </c>
      <c r="AC53" s="50">
        <v>104</v>
      </c>
      <c r="AD53" s="50">
        <v>7.1428571428571432</v>
      </c>
      <c r="AE53" s="14">
        <v>18000</v>
      </c>
    </row>
    <row r="54" spans="1:31" x14ac:dyDescent="0.3">
      <c r="A54" s="46" t="s">
        <v>36</v>
      </c>
      <c r="B54" s="47" t="s">
        <v>103</v>
      </c>
      <c r="C54" s="47" t="s">
        <v>139</v>
      </c>
      <c r="D54" s="50">
        <v>1400</v>
      </c>
      <c r="E54" s="50">
        <v>5000</v>
      </c>
      <c r="F54" s="50">
        <v>7000</v>
      </c>
      <c r="G54" s="52">
        <v>0.72</v>
      </c>
      <c r="H54" s="14">
        <v>70</v>
      </c>
      <c r="I54" s="50">
        <v>8100</v>
      </c>
      <c r="J54" s="21">
        <v>63.533999999999999</v>
      </c>
      <c r="K54" s="21">
        <v>6.0545599999999996E-3</v>
      </c>
      <c r="L54" s="21">
        <v>-3.99327E-6</v>
      </c>
      <c r="M54" s="21">
        <v>8.0832299999999998E-10</v>
      </c>
      <c r="N54" s="21">
        <v>-8.8312600000000003E-14</v>
      </c>
      <c r="O54" s="21">
        <v>2.7643499999999999E-18</v>
      </c>
      <c r="P54" s="21">
        <v>1.41984</v>
      </c>
      <c r="Q54" s="21">
        <v>3.5605000000000001E-4</v>
      </c>
      <c r="R54" s="21">
        <v>-5.5639400000000001E-8</v>
      </c>
      <c r="S54" s="21">
        <v>1.61807E-11</v>
      </c>
      <c r="T54" s="21">
        <v>-2.9414099999999998E-15</v>
      </c>
      <c r="U54" s="21">
        <v>1.61908E-19</v>
      </c>
      <c r="V54" s="14">
        <v>5.38</v>
      </c>
      <c r="W54" s="10">
        <v>6000</v>
      </c>
      <c r="X54" s="10">
        <v>6000</v>
      </c>
      <c r="Y54" s="10">
        <v>0.875</v>
      </c>
      <c r="Z54" s="10">
        <v>400</v>
      </c>
      <c r="AA54" s="10">
        <v>500</v>
      </c>
      <c r="AB54" s="50"/>
      <c r="AC54" s="50"/>
      <c r="AD54" s="50"/>
      <c r="AE54" s="14"/>
    </row>
    <row r="55" spans="1:31" x14ac:dyDescent="0.3">
      <c r="A55" s="46" t="s">
        <v>36</v>
      </c>
      <c r="B55" s="46" t="s">
        <v>82</v>
      </c>
      <c r="C55" s="46" t="s">
        <v>140</v>
      </c>
      <c r="D55" s="53">
        <v>500</v>
      </c>
      <c r="E55" s="53">
        <v>1400</v>
      </c>
      <c r="F55" s="53">
        <v>2000</v>
      </c>
      <c r="G55" s="54">
        <v>0.66</v>
      </c>
      <c r="H55" s="55">
        <v>31</v>
      </c>
      <c r="I55" s="53">
        <v>2400</v>
      </c>
      <c r="J55" s="56">
        <v>31.1754</v>
      </c>
      <c r="K55" s="56">
        <v>-8.7709899999999993E-3</v>
      </c>
      <c r="L55" s="56">
        <v>1.03095E-5</v>
      </c>
      <c r="M55" s="56">
        <v>-7.4206099999999997E-9</v>
      </c>
      <c r="N55" s="56">
        <v>1.1827799999999999E-12</v>
      </c>
      <c r="O55" s="56">
        <v>-5.4721800000000001E-17</v>
      </c>
      <c r="P55" s="56">
        <v>0.256575</v>
      </c>
      <c r="Q55" s="56">
        <v>-1.3595400000000001E-4</v>
      </c>
      <c r="R55" s="56">
        <v>3.9431100000000002E-7</v>
      </c>
      <c r="S55" s="56">
        <v>-2.3935299999999998E-10</v>
      </c>
      <c r="T55" s="56">
        <v>5.0172100000000003E-14</v>
      </c>
      <c r="U55" s="56">
        <v>-2.91381E-18</v>
      </c>
      <c r="V55" s="55">
        <v>4</v>
      </c>
      <c r="W55" s="57">
        <v>6000</v>
      </c>
      <c r="X55" s="57">
        <v>6000</v>
      </c>
      <c r="Y55" s="58">
        <v>0.68799999999999994</v>
      </c>
      <c r="Z55" s="57">
        <v>125</v>
      </c>
      <c r="AA55" s="57">
        <v>250</v>
      </c>
      <c r="AB55" s="53"/>
      <c r="AC55" s="53"/>
      <c r="AD55" s="53"/>
      <c r="AE55" s="55"/>
    </row>
    <row r="56" spans="1:31" x14ac:dyDescent="0.3">
      <c r="A56" s="46" t="s">
        <v>36</v>
      </c>
      <c r="B56" s="47" t="s">
        <v>77</v>
      </c>
      <c r="C56" s="46" t="s">
        <v>141</v>
      </c>
      <c r="D56" s="48">
        <v>300</v>
      </c>
      <c r="E56" s="48">
        <v>2501</v>
      </c>
      <c r="F56" s="48">
        <v>3200</v>
      </c>
      <c r="G56" s="14">
        <v>0.55200000000000005</v>
      </c>
      <c r="H56" s="14">
        <v>19.8</v>
      </c>
      <c r="I56" s="14">
        <v>3900</v>
      </c>
      <c r="J56" s="21">
        <v>19.827909999999999</v>
      </c>
      <c r="K56" s="21">
        <v>-9.0799999999999995E-3</v>
      </c>
      <c r="L56" s="21">
        <v>4.0970199999999996E-6</v>
      </c>
      <c r="M56" s="21">
        <v>-6.1690940000000001E-10</v>
      </c>
      <c r="N56" s="21">
        <v>-7.1478629999999996E-14</v>
      </c>
      <c r="O56" s="21">
        <v>8.1921050000000004E-18</v>
      </c>
      <c r="P56" s="21">
        <v>0.31563099999999999</v>
      </c>
      <c r="Q56" s="21">
        <v>-1.3721299999999999E-4</v>
      </c>
      <c r="R56" s="21">
        <v>1.36E-7</v>
      </c>
      <c r="S56" s="21">
        <v>-3.8511699999999997E-11</v>
      </c>
      <c r="T56" s="21">
        <v>4.89114E-15</v>
      </c>
      <c r="U56" s="21">
        <v>-4.1026700000000002E-19</v>
      </c>
      <c r="V56" s="14">
        <v>3.38</v>
      </c>
      <c r="W56" s="10">
        <v>5000</v>
      </c>
      <c r="X56" s="10">
        <v>5000</v>
      </c>
      <c r="Y56" s="10">
        <v>0.6875</v>
      </c>
      <c r="Z56" s="10">
        <v>125</v>
      </c>
      <c r="AA56" s="10">
        <v>200</v>
      </c>
      <c r="AB56" s="50">
        <v>10</v>
      </c>
      <c r="AC56" s="50">
        <v>140</v>
      </c>
      <c r="AD56" s="50">
        <v>10</v>
      </c>
      <c r="AE56" s="14">
        <v>5700</v>
      </c>
    </row>
    <row r="57" spans="1:31" x14ac:dyDescent="0.3">
      <c r="A57" s="46" t="s">
        <v>36</v>
      </c>
      <c r="B57" s="47" t="s">
        <v>77</v>
      </c>
      <c r="C57" s="46" t="s">
        <v>142</v>
      </c>
      <c r="D57" s="48">
        <v>640</v>
      </c>
      <c r="E57" s="48">
        <v>2501</v>
      </c>
      <c r="F57" s="48">
        <v>3200</v>
      </c>
      <c r="G57" s="14">
        <v>0.55200000000000005</v>
      </c>
      <c r="H57" s="14">
        <v>19.8</v>
      </c>
      <c r="I57" s="14">
        <v>3900</v>
      </c>
      <c r="J57" s="21">
        <v>19.827909999999999</v>
      </c>
      <c r="K57" s="21">
        <v>-9.0799999999999995E-3</v>
      </c>
      <c r="L57" s="21">
        <v>4.0970199999999996E-6</v>
      </c>
      <c r="M57" s="21">
        <v>-6.1690940000000001E-10</v>
      </c>
      <c r="N57" s="21">
        <v>-7.1478629999999996E-14</v>
      </c>
      <c r="O57" s="21">
        <v>8.1921050000000004E-18</v>
      </c>
      <c r="P57" s="21">
        <v>0.31563099999999999</v>
      </c>
      <c r="Q57" s="21">
        <v>-1.3721299999999999E-4</v>
      </c>
      <c r="R57" s="21">
        <v>1.36E-7</v>
      </c>
      <c r="S57" s="21">
        <v>-3.8511699999999997E-11</v>
      </c>
      <c r="T57" s="21">
        <v>4.89114E-15</v>
      </c>
      <c r="U57" s="21">
        <v>-4.1026700000000002E-19</v>
      </c>
      <c r="V57" s="14">
        <v>3.38</v>
      </c>
      <c r="W57" s="10">
        <v>5000</v>
      </c>
      <c r="X57" s="10">
        <v>5000</v>
      </c>
      <c r="Y57" s="10">
        <v>0.6875</v>
      </c>
      <c r="Z57" s="10">
        <v>125</v>
      </c>
      <c r="AA57" s="10">
        <v>200</v>
      </c>
      <c r="AB57" s="50">
        <v>10</v>
      </c>
      <c r="AC57" s="50">
        <v>140</v>
      </c>
      <c r="AD57" s="50">
        <v>10</v>
      </c>
      <c r="AE57" s="14">
        <v>5700</v>
      </c>
    </row>
    <row r="58" spans="1:31" x14ac:dyDescent="0.3">
      <c r="A58" s="46" t="s">
        <v>36</v>
      </c>
      <c r="B58" s="47" t="s">
        <v>77</v>
      </c>
      <c r="C58" s="46" t="s">
        <v>143</v>
      </c>
      <c r="D58" s="48">
        <v>440</v>
      </c>
      <c r="E58" s="48">
        <v>660</v>
      </c>
      <c r="F58" s="48">
        <v>840</v>
      </c>
      <c r="G58" s="14">
        <v>0.55000000000000004</v>
      </c>
      <c r="H58" s="14">
        <v>18.8</v>
      </c>
      <c r="I58" s="14">
        <v>1340</v>
      </c>
      <c r="J58" s="21">
        <v>26.362580000000001</v>
      </c>
      <c r="K58" s="21">
        <v>-1.8983660000000001E-3</v>
      </c>
      <c r="L58" s="21">
        <v>-6.1482799999999993E-5</v>
      </c>
      <c r="M58" s="21">
        <v>1.580255E-7</v>
      </c>
      <c r="N58" s="21">
        <v>-1.7221379999999999E-10</v>
      </c>
      <c r="O58" s="21">
        <v>4.503311E-14</v>
      </c>
      <c r="P58" s="21">
        <v>0.1031687</v>
      </c>
      <c r="Q58" s="21">
        <v>-8.0523760000000004E-6</v>
      </c>
      <c r="R58" s="21">
        <v>5.2853220000000002E-7</v>
      </c>
      <c r="S58" s="21">
        <v>-1.153182E-9</v>
      </c>
      <c r="T58" s="21">
        <v>1.1725440000000001E-12</v>
      </c>
      <c r="U58" s="21">
        <v>-6.9096700000000001E-16</v>
      </c>
      <c r="V58" s="14">
        <v>3.38</v>
      </c>
      <c r="W58" s="10">
        <v>5000</v>
      </c>
      <c r="X58" s="10">
        <v>5000</v>
      </c>
      <c r="Y58" s="10">
        <v>0.6875</v>
      </c>
      <c r="Z58" s="10">
        <v>125</v>
      </c>
      <c r="AA58" s="10">
        <v>200</v>
      </c>
      <c r="AB58" s="50">
        <v>10</v>
      </c>
      <c r="AC58" s="50">
        <v>140</v>
      </c>
      <c r="AD58" s="50">
        <v>10</v>
      </c>
      <c r="AE58" s="14">
        <v>5700</v>
      </c>
    </row>
    <row r="59" spans="1:31" x14ac:dyDescent="0.3">
      <c r="A59" s="46" t="s">
        <v>36</v>
      </c>
      <c r="B59" s="47" t="s">
        <v>103</v>
      </c>
      <c r="C59" s="46" t="s">
        <v>144</v>
      </c>
      <c r="D59" s="48">
        <v>300</v>
      </c>
      <c r="E59" s="48">
        <v>1600</v>
      </c>
      <c r="F59" s="48">
        <v>2200</v>
      </c>
      <c r="G59" s="14">
        <v>0.62</v>
      </c>
      <c r="H59" s="14">
        <v>60</v>
      </c>
      <c r="I59" s="14">
        <v>2700</v>
      </c>
      <c r="J59" s="21">
        <v>75.415141985393205</v>
      </c>
      <c r="K59" s="21">
        <v>2.63035008003687E-3</v>
      </c>
      <c r="L59" s="21">
        <v>-1.37535464281477E-5</v>
      </c>
      <c r="M59" s="21">
        <v>5.3041988134853001E-9</v>
      </c>
      <c r="N59" s="21">
        <v>-1.0890112674423401E-12</v>
      </c>
      <c r="O59" s="21">
        <v>4.07434111587734E-17</v>
      </c>
      <c r="P59" s="21">
        <v>0.63270266489384697</v>
      </c>
      <c r="Q59" s="21">
        <v>2.71726588712869E-4</v>
      </c>
      <c r="R59" s="21">
        <v>2.25667089900137E-7</v>
      </c>
      <c r="S59" s="21">
        <v>-2.8400523215398802E-10</v>
      </c>
      <c r="T59" s="21">
        <v>1.3691445328608099E-13</v>
      </c>
      <c r="U59" s="21">
        <v>-2.2565365961180799E-17</v>
      </c>
      <c r="V59" s="14">
        <v>5.38</v>
      </c>
      <c r="W59" s="10">
        <v>6000</v>
      </c>
      <c r="X59" s="10">
        <v>6000</v>
      </c>
      <c r="Y59" s="10">
        <v>0.875</v>
      </c>
      <c r="Z59" s="10">
        <v>400</v>
      </c>
      <c r="AA59" s="10">
        <v>500</v>
      </c>
      <c r="AB59" s="50">
        <v>4</v>
      </c>
      <c r="AC59" s="50">
        <v>104</v>
      </c>
      <c r="AD59" s="50">
        <v>7.1428571428571432</v>
      </c>
      <c r="AE59" s="14">
        <v>18000</v>
      </c>
    </row>
    <row r="60" spans="1:31" x14ac:dyDescent="0.3">
      <c r="A60" s="59" t="s">
        <v>36</v>
      </c>
      <c r="B60" s="60" t="s">
        <v>103</v>
      </c>
      <c r="C60" s="59" t="s">
        <v>145</v>
      </c>
      <c r="D60" s="61">
        <v>2000</v>
      </c>
      <c r="E60" s="61">
        <v>6480</v>
      </c>
      <c r="F60" s="61">
        <v>8000</v>
      </c>
      <c r="G60" s="62">
        <v>0.67</v>
      </c>
      <c r="H60" s="62">
        <v>62.381999999999998</v>
      </c>
      <c r="I60" s="62">
        <v>12000</v>
      </c>
      <c r="J60" s="63">
        <v>62.381999999999998</v>
      </c>
      <c r="K60" s="63">
        <v>3.54522E-3</v>
      </c>
      <c r="L60" s="63">
        <v>-4.70298E-6</v>
      </c>
      <c r="M60" s="63">
        <v>1.15343E-9</v>
      </c>
      <c r="N60" s="63">
        <v>-1.16738E-13</v>
      </c>
      <c r="O60" s="63">
        <v>3.9752799999999997E-18</v>
      </c>
      <c r="P60" s="63">
        <v>1.8713299999999999</v>
      </c>
      <c r="Q60" s="63">
        <v>3.6441400000000002E-4</v>
      </c>
      <c r="R60" s="63">
        <v>-1.3983500000000001E-7</v>
      </c>
      <c r="S60" s="63">
        <v>3.4150199999999999E-11</v>
      </c>
      <c r="T60" s="63">
        <v>-3.3858899999999999E-15</v>
      </c>
      <c r="U60" s="63">
        <v>1.11937E-19</v>
      </c>
      <c r="V60" s="62">
        <v>5.38</v>
      </c>
      <c r="W60" s="64">
        <v>5000</v>
      </c>
      <c r="X60" s="64">
        <v>6000</v>
      </c>
      <c r="Y60" s="64">
        <v>1.1870000000000001</v>
      </c>
      <c r="Z60" s="64">
        <v>625</v>
      </c>
      <c r="AA60" s="64">
        <v>1250</v>
      </c>
      <c r="AB60" s="65">
        <v>3</v>
      </c>
      <c r="AC60" s="65">
        <v>82</v>
      </c>
      <c r="AD60" s="65">
        <v>6</v>
      </c>
      <c r="AE60" s="62">
        <v>18000</v>
      </c>
    </row>
    <row r="61" spans="1:31" x14ac:dyDescent="0.3">
      <c r="A61" s="46" t="s">
        <v>36</v>
      </c>
      <c r="B61" s="60" t="s">
        <v>103</v>
      </c>
      <c r="C61" s="59" t="s">
        <v>146</v>
      </c>
      <c r="D61" s="61">
        <v>300</v>
      </c>
      <c r="E61" s="61">
        <v>2716</v>
      </c>
      <c r="F61" s="61">
        <v>3500</v>
      </c>
      <c r="G61" s="62">
        <v>0.69981000000000004</v>
      </c>
      <c r="H61" s="62">
        <v>71.709999999999994</v>
      </c>
      <c r="I61" s="62">
        <v>4850</v>
      </c>
      <c r="J61" s="63">
        <v>71.713899999999995</v>
      </c>
      <c r="K61" s="63">
        <v>-6.6776400000000003E-3</v>
      </c>
      <c r="L61" s="63">
        <v>6.9555099999999996E-6</v>
      </c>
      <c r="M61" s="63">
        <v>-4.68372E-9</v>
      </c>
      <c r="N61" s="63">
        <v>9.8782400000000001E-13</v>
      </c>
      <c r="O61" s="63">
        <v>-7.98514E-17</v>
      </c>
      <c r="P61" s="63">
        <v>0.90636899999999998</v>
      </c>
      <c r="Q61" s="63">
        <v>2.7534399999999998E-5</v>
      </c>
      <c r="R61" s="63">
        <v>3.3795900000000002E-7</v>
      </c>
      <c r="S61" s="63">
        <v>-1.7760999999999999E-10</v>
      </c>
      <c r="T61" s="63">
        <v>3.74737E-14</v>
      </c>
      <c r="U61" s="63">
        <v>-2.9818000000000002E-18</v>
      </c>
      <c r="V61" s="62">
        <v>5.38</v>
      </c>
      <c r="W61" s="64">
        <v>5000</v>
      </c>
      <c r="X61" s="64">
        <v>6000</v>
      </c>
      <c r="Y61" s="64">
        <v>0.875</v>
      </c>
      <c r="Z61" s="64">
        <v>250</v>
      </c>
      <c r="AA61" s="64">
        <v>400</v>
      </c>
      <c r="AB61" s="65">
        <v>5</v>
      </c>
      <c r="AC61" s="65">
        <v>98</v>
      </c>
      <c r="AD61" s="65">
        <v>7</v>
      </c>
      <c r="AE61" s="62">
        <v>18000</v>
      </c>
    </row>
    <row r="62" spans="1:31" x14ac:dyDescent="0.3">
      <c r="A62" s="46" t="s">
        <v>147</v>
      </c>
      <c r="B62" s="47" t="s">
        <v>82</v>
      </c>
      <c r="C62" s="47" t="s">
        <v>148</v>
      </c>
      <c r="D62" s="48">
        <v>200</v>
      </c>
      <c r="E62" s="48">
        <v>2000</v>
      </c>
      <c r="F62" s="48">
        <v>4000</v>
      </c>
      <c r="G62" s="14">
        <v>0.43</v>
      </c>
      <c r="H62" s="14">
        <v>120</v>
      </c>
      <c r="I62" s="14">
        <v>4000</v>
      </c>
      <c r="J62" s="21">
        <v>117.02</v>
      </c>
      <c r="K62" s="21">
        <v>-6.9289000000000003E-2</v>
      </c>
      <c r="L62" s="21">
        <v>-1.1618E-5</v>
      </c>
      <c r="M62" s="21">
        <v>2.0447000000000001E-8</v>
      </c>
      <c r="N62" s="21">
        <v>-5.0631999999999997E-12</v>
      </c>
      <c r="O62" s="21">
        <v>0</v>
      </c>
      <c r="P62" s="21">
        <v>3.0729000000000002</v>
      </c>
      <c r="Q62" s="21">
        <v>-1.4904E-3</v>
      </c>
      <c r="R62" s="21">
        <v>-7.6764999999999997E-7</v>
      </c>
      <c r="S62" s="21">
        <v>8.1641999999999996E-10</v>
      </c>
      <c r="T62" s="21">
        <v>-1.9105E-13</v>
      </c>
      <c r="U62" s="21">
        <v>0</v>
      </c>
      <c r="V62" s="14">
        <v>4</v>
      </c>
      <c r="W62" s="10">
        <v>5000</v>
      </c>
      <c r="X62" s="10">
        <v>6000</v>
      </c>
      <c r="Y62" s="10">
        <v>0.88</v>
      </c>
      <c r="Z62" s="10">
        <v>410</v>
      </c>
      <c r="AA62" s="10">
        <v>410</v>
      </c>
      <c r="AB62" s="50">
        <v>20</v>
      </c>
      <c r="AC62" s="50">
        <v>160</v>
      </c>
      <c r="AD62" s="50">
        <v>20</v>
      </c>
      <c r="AE62" s="14"/>
    </row>
    <row r="63" spans="1:31" x14ac:dyDescent="0.3">
      <c r="A63" s="46" t="s">
        <v>36</v>
      </c>
      <c r="B63" s="66">
        <v>400</v>
      </c>
      <c r="C63" s="47" t="s">
        <v>149</v>
      </c>
      <c r="D63" s="50">
        <v>100</v>
      </c>
      <c r="E63" s="50">
        <v>600</v>
      </c>
      <c r="F63" s="50">
        <v>900</v>
      </c>
      <c r="G63" s="14">
        <v>0.6</v>
      </c>
      <c r="H63" s="67">
        <v>35.14</v>
      </c>
      <c r="I63" s="67">
        <v>1100</v>
      </c>
      <c r="J63" s="21">
        <v>33.39</v>
      </c>
      <c r="K63" s="21">
        <v>-1.4011300000000001E-2</v>
      </c>
      <c r="L63" s="21">
        <v>9.0725599999999998E-5</v>
      </c>
      <c r="M63" s="21">
        <v>-2.16067E-7</v>
      </c>
      <c r="N63" s="21">
        <v>1.5639500000000001E-10</v>
      </c>
      <c r="O63" s="21">
        <v>-4.0230899999999998E-14</v>
      </c>
      <c r="P63" s="21">
        <v>0.124098</v>
      </c>
      <c r="Q63" s="21">
        <v>1.9271199999999999E-4</v>
      </c>
      <c r="R63" s="21">
        <v>-7.5169399999999998E-8</v>
      </c>
      <c r="S63" s="21">
        <v>2.38705E-10</v>
      </c>
      <c r="T63" s="21">
        <v>-4.0052899999999999E-13</v>
      </c>
      <c r="U63" s="21">
        <v>1.72446E-16</v>
      </c>
      <c r="V63" s="14">
        <v>4</v>
      </c>
      <c r="W63" s="10">
        <v>6000</v>
      </c>
      <c r="X63" s="10">
        <v>6000</v>
      </c>
      <c r="Y63" s="10">
        <v>0.68700000000000006</v>
      </c>
      <c r="Z63" s="10">
        <v>200</v>
      </c>
      <c r="AA63" s="10">
        <v>250</v>
      </c>
      <c r="AB63" s="50">
        <v>5</v>
      </c>
      <c r="AC63" s="50">
        <v>113</v>
      </c>
      <c r="AD63" s="50">
        <v>18</v>
      </c>
      <c r="AE63" s="14">
        <v>5700</v>
      </c>
    </row>
    <row r="64" spans="1:31" ht="27" x14ac:dyDescent="0.3">
      <c r="A64" s="46" t="s">
        <v>36</v>
      </c>
      <c r="B64" s="68" t="s">
        <v>150</v>
      </c>
      <c r="C64" s="68" t="s">
        <v>151</v>
      </c>
      <c r="D64" s="48">
        <v>200</v>
      </c>
      <c r="E64" s="48">
        <v>1928</v>
      </c>
      <c r="F64" s="48">
        <v>2910</v>
      </c>
      <c r="G64" s="14">
        <v>0.71560999999999997</v>
      </c>
      <c r="H64" s="14">
        <v>32.119999999999997</v>
      </c>
      <c r="I64" s="14">
        <v>3300</v>
      </c>
      <c r="J64" s="21">
        <v>28.867899999999999</v>
      </c>
      <c r="K64" s="21">
        <v>2.5251499999999999E-3</v>
      </c>
      <c r="L64" s="21">
        <v>-1.44428E-5</v>
      </c>
      <c r="M64" s="21">
        <v>9.9372999999999996E-9</v>
      </c>
      <c r="N64" s="21">
        <v>-3.07314E-12</v>
      </c>
      <c r="O64" s="21">
        <v>3.0561199999999999E-16</v>
      </c>
      <c r="P64" s="21">
        <v>0.28321400000000002</v>
      </c>
      <c r="Q64" s="21">
        <v>-4.9222000000000001E-6</v>
      </c>
      <c r="R64" s="21">
        <v>9.8020500000000001E-8</v>
      </c>
      <c r="S64" s="21">
        <v>-2.9917199999999998E-11</v>
      </c>
      <c r="T64" s="21">
        <v>-8.6366899999999995E-15</v>
      </c>
      <c r="U64" s="21">
        <v>3.2091399999999999E-18</v>
      </c>
      <c r="V64" s="14">
        <v>4</v>
      </c>
      <c r="W64" s="10">
        <v>5000</v>
      </c>
      <c r="X64" s="10">
        <v>6000</v>
      </c>
      <c r="Y64" s="10">
        <v>0.68799999999999994</v>
      </c>
      <c r="Z64" s="10">
        <v>200</v>
      </c>
      <c r="AA64" s="10">
        <v>250</v>
      </c>
      <c r="AB64" s="50">
        <v>7</v>
      </c>
      <c r="AC64" s="50">
        <v>100</v>
      </c>
      <c r="AD64" s="50">
        <v>8.4545454545454479</v>
      </c>
      <c r="AE64" s="14">
        <v>5700</v>
      </c>
    </row>
    <row r="65" spans="1:31" ht="27" x14ac:dyDescent="0.3">
      <c r="A65" s="46" t="s">
        <v>36</v>
      </c>
      <c r="B65" s="68" t="s">
        <v>152</v>
      </c>
      <c r="C65" s="68" t="s">
        <v>151</v>
      </c>
      <c r="D65" s="48">
        <v>1000</v>
      </c>
      <c r="E65" s="48">
        <v>4560</v>
      </c>
      <c r="F65" s="48">
        <v>7000</v>
      </c>
      <c r="G65" s="14">
        <v>0.65398000000000001</v>
      </c>
      <c r="H65" s="14">
        <v>56.17</v>
      </c>
      <c r="I65" s="14">
        <v>5200</v>
      </c>
      <c r="J65" s="21">
        <v>52.741500000000002</v>
      </c>
      <c r="K65" s="21">
        <v>1.04769E-4</v>
      </c>
      <c r="L65" s="21">
        <v>-4.3095500000000001E-6</v>
      </c>
      <c r="M65" s="21">
        <v>1.50378E-9</v>
      </c>
      <c r="N65" s="21">
        <v>-2.34329E-13</v>
      </c>
      <c r="O65" s="21">
        <v>1.277715E-17</v>
      </c>
      <c r="P65" s="21">
        <v>1.2067099999999999</v>
      </c>
      <c r="Q65" s="21">
        <v>4.1859599999999997E-4</v>
      </c>
      <c r="R65" s="21">
        <v>-2.2272E-7</v>
      </c>
      <c r="S65" s="21">
        <v>7.52007E-11</v>
      </c>
      <c r="T65" s="21">
        <v>-1.2478E-14</v>
      </c>
      <c r="U65" s="21">
        <v>7.5896899999999998E-19</v>
      </c>
      <c r="V65" s="14">
        <v>5.25</v>
      </c>
      <c r="W65" s="10">
        <v>6000</v>
      </c>
      <c r="X65" s="10">
        <v>6000</v>
      </c>
      <c r="Y65" s="10">
        <v>1</v>
      </c>
      <c r="Z65" s="10">
        <v>600</v>
      </c>
      <c r="AA65" s="10">
        <v>750</v>
      </c>
      <c r="AB65" s="50">
        <v>5</v>
      </c>
      <c r="AC65" s="50">
        <v>99</v>
      </c>
      <c r="AD65" s="50">
        <v>6.7142857142857135</v>
      </c>
      <c r="AE65" s="14">
        <v>18000</v>
      </c>
    </row>
    <row r="66" spans="1:31" x14ac:dyDescent="0.3">
      <c r="A66" s="46" t="s">
        <v>36</v>
      </c>
      <c r="B66" s="47" t="s">
        <v>103</v>
      </c>
      <c r="C66" s="46" t="s">
        <v>153</v>
      </c>
      <c r="D66" s="48">
        <v>2000</v>
      </c>
      <c r="E66" s="48">
        <v>8000</v>
      </c>
      <c r="F66" s="48">
        <v>10500</v>
      </c>
      <c r="G66" s="14">
        <v>0.79600000000000004</v>
      </c>
      <c r="H66" s="14">
        <v>74.650000000000006</v>
      </c>
      <c r="I66" s="14">
        <v>12900</v>
      </c>
      <c r="J66" s="21">
        <v>71.015199999999993</v>
      </c>
      <c r="K66" s="21">
        <v>7.9353199999999992E-3</v>
      </c>
      <c r="L66" s="21">
        <v>-5.2345100000000003E-6</v>
      </c>
      <c r="M66" s="21">
        <v>1.01132E-9</v>
      </c>
      <c r="N66" s="21">
        <v>-8.4901199999999995E-14</v>
      </c>
      <c r="O66" s="21">
        <v>2.45975E-18</v>
      </c>
      <c r="P66" s="21">
        <v>2.4657399999999998</v>
      </c>
      <c r="Q66" s="21">
        <v>3.2085000000000002E-4</v>
      </c>
      <c r="R66" s="21">
        <v>-6.5431100000000004E-8</v>
      </c>
      <c r="S66" s="21">
        <v>1.13443E-11</v>
      </c>
      <c r="T66" s="21">
        <v>-9.2369499999999992E-16</v>
      </c>
      <c r="U66" s="21">
        <v>2.5539500000000001E-20</v>
      </c>
      <c r="V66" s="14">
        <v>5.38</v>
      </c>
      <c r="W66" s="10">
        <v>5000</v>
      </c>
      <c r="X66" s="10">
        <v>6000</v>
      </c>
      <c r="Y66" s="10">
        <v>0.88</v>
      </c>
      <c r="Z66" s="10">
        <v>400</v>
      </c>
      <c r="AA66" s="10">
        <v>500</v>
      </c>
      <c r="AB66" s="50">
        <v>3</v>
      </c>
      <c r="AC66" s="50">
        <v>72</v>
      </c>
      <c r="AD66" s="50">
        <v>4.9285714285714288</v>
      </c>
      <c r="AE66" s="14">
        <v>18000</v>
      </c>
    </row>
    <row r="67" spans="1:31" x14ac:dyDescent="0.3">
      <c r="A67" s="46" t="s">
        <v>36</v>
      </c>
      <c r="B67" s="47" t="s">
        <v>103</v>
      </c>
      <c r="C67" s="47" t="s">
        <v>110</v>
      </c>
      <c r="D67" s="48">
        <v>2500</v>
      </c>
      <c r="E67" s="48">
        <v>8850</v>
      </c>
      <c r="F67" s="48">
        <v>10565</v>
      </c>
      <c r="G67" s="14">
        <v>0.72219999999999995</v>
      </c>
      <c r="H67" s="14">
        <v>62.574809999999999</v>
      </c>
      <c r="I67" s="14">
        <v>13600</v>
      </c>
      <c r="J67" s="21">
        <v>62.574800000000003</v>
      </c>
      <c r="K67" s="21">
        <v>-1.63719E-3</v>
      </c>
      <c r="L67" s="21">
        <v>-2.3412999999999999E-6</v>
      </c>
      <c r="M67" s="21">
        <v>6.4549000000000001E-10</v>
      </c>
      <c r="N67" s="21">
        <v>-6.2733099999999999E-14</v>
      </c>
      <c r="O67" s="21">
        <v>1.9502800000000001E-18</v>
      </c>
      <c r="P67" s="21">
        <v>2.2881</v>
      </c>
      <c r="Q67" s="21">
        <v>4.1217899999999999E-4</v>
      </c>
      <c r="R67" s="21">
        <v>-2.13966E-7</v>
      </c>
      <c r="S67" s="21">
        <v>4.81819E-11</v>
      </c>
      <c r="T67" s="21">
        <v>-4.4523700000000002E-15</v>
      </c>
      <c r="U67" s="21">
        <v>1.4334999999999999E-19</v>
      </c>
      <c r="V67" s="14">
        <v>5.38</v>
      </c>
      <c r="W67" s="10">
        <v>6000</v>
      </c>
      <c r="X67" s="10">
        <v>6000</v>
      </c>
      <c r="Y67" s="10">
        <v>1</v>
      </c>
      <c r="Z67" s="10">
        <v>600</v>
      </c>
      <c r="AA67" s="10">
        <v>750</v>
      </c>
      <c r="AB67" s="50">
        <v>3</v>
      </c>
      <c r="AC67" s="50">
        <v>72</v>
      </c>
      <c r="AD67" s="50">
        <v>4.9285714285714288</v>
      </c>
      <c r="AE67" s="14">
        <v>18000</v>
      </c>
    </row>
  </sheetData>
  <dataValidations count="2">
    <dataValidation allowBlank="1" showInputMessage="1" showErrorMessage="1" promptTitle="Important Notice:" prompt="-------_x000a_If a manufacturer is not in SubPUMP databank, this field is required._x000a_-------_x000a_Manufacturers in SubPUMP:_x000a_Almaz, Alnas, Borets, CAI, Centrilift/ODI or CLift, ESP, Lemaz, Novomet, Novo, ODI, Schlumberger/Reda or Reda, Weatherford or Wford, WSP" sqref="V60:V67 V2:V58" xr:uid="{3FD0080D-2C3A-4F55-B84B-D0CC566A93AC}"/>
    <dataValidation type="list" allowBlank="1" showInputMessage="1" promptTitle="Manufacturer Name" prompt="Select a manufacturer from the list, or enter a new manufacturer using a short name" sqref="A2:A67" xr:uid="{AF0772FE-6C99-4C71-A119-5954E73F5113}">
      <formula1>$A$1007:$A$1019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E1D5F-0141-4BAB-AEB4-A4CC46CE0FB9}">
  <dimension ref="A1:AJ96"/>
  <sheetViews>
    <sheetView workbookViewId="0">
      <selection activeCell="C12" sqref="C12"/>
    </sheetView>
  </sheetViews>
  <sheetFormatPr defaultRowHeight="14.4" x14ac:dyDescent="0.3"/>
  <sheetData>
    <row r="1" spans="1:36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</row>
    <row r="2" spans="1:36" x14ac:dyDescent="0.3">
      <c r="A2" s="8" t="s">
        <v>36</v>
      </c>
      <c r="B2" s="9" t="s">
        <v>37</v>
      </c>
      <c r="C2" s="9" t="s">
        <v>38</v>
      </c>
      <c r="D2" s="10">
        <v>25.7</v>
      </c>
      <c r="E2" s="11">
        <v>330</v>
      </c>
      <c r="F2" s="11">
        <v>1950</v>
      </c>
      <c r="G2" s="11">
        <v>102.5</v>
      </c>
      <c r="H2" s="12">
        <v>3497</v>
      </c>
      <c r="I2" s="12">
        <v>-63.32</v>
      </c>
      <c r="J2" s="12">
        <v>-44.244999999999997</v>
      </c>
      <c r="K2" s="12">
        <v>705.63</v>
      </c>
      <c r="L2" s="12">
        <v>-1034.9000000000001</v>
      </c>
      <c r="M2" s="13">
        <v>418.1</v>
      </c>
      <c r="N2" s="12">
        <v>40.698999999999998</v>
      </c>
      <c r="O2" s="12">
        <v>42.497999999999998</v>
      </c>
      <c r="P2" s="12">
        <v>23.943999999999999</v>
      </c>
      <c r="Q2" s="12">
        <v>-64.594999999999999</v>
      </c>
      <c r="R2" s="12">
        <v>99.617999999999995</v>
      </c>
      <c r="S2" s="12">
        <v>-42.015999999999998</v>
      </c>
      <c r="T2" s="12">
        <v>124.23</v>
      </c>
      <c r="U2" s="12">
        <v>-275.95999999999998</v>
      </c>
      <c r="V2" s="12">
        <v>801.35</v>
      </c>
      <c r="W2" s="12">
        <v>-1121.7</v>
      </c>
      <c r="X2" s="13">
        <v>720.12</v>
      </c>
      <c r="Y2" s="12">
        <v>-166.88</v>
      </c>
      <c r="Z2" s="13">
        <v>95.379000000000005</v>
      </c>
      <c r="AA2" s="13">
        <v>-94.293999999999997</v>
      </c>
      <c r="AB2" s="13">
        <v>361.45</v>
      </c>
      <c r="AC2" s="13">
        <v>-611.59</v>
      </c>
      <c r="AD2" s="13">
        <v>493.84</v>
      </c>
      <c r="AE2" s="13">
        <v>-156.4</v>
      </c>
      <c r="AF2" s="14">
        <v>5.62</v>
      </c>
      <c r="AG2" s="14">
        <v>3495</v>
      </c>
      <c r="AH2" s="14">
        <v>950</v>
      </c>
      <c r="AI2" s="15" t="s">
        <v>39</v>
      </c>
      <c r="AJ2" s="16"/>
    </row>
    <row r="3" spans="1:36" x14ac:dyDescent="0.3">
      <c r="A3" s="8" t="s">
        <v>36</v>
      </c>
      <c r="B3" s="9" t="s">
        <v>37</v>
      </c>
      <c r="C3" s="9" t="s">
        <v>38</v>
      </c>
      <c r="D3" s="10">
        <v>25.7</v>
      </c>
      <c r="E3" s="11">
        <v>287</v>
      </c>
      <c r="F3" s="11">
        <v>1567</v>
      </c>
      <c r="G3" s="11">
        <v>92.596774922083213</v>
      </c>
      <c r="H3" s="12">
        <v>3497</v>
      </c>
      <c r="I3" s="12">
        <v>-63.32</v>
      </c>
      <c r="J3" s="12">
        <v>-44.244999999999997</v>
      </c>
      <c r="K3" s="12">
        <v>705.63</v>
      </c>
      <c r="L3" s="12">
        <v>-1034.9000000000001</v>
      </c>
      <c r="M3" s="13">
        <v>418.1</v>
      </c>
      <c r="N3" s="12">
        <v>40.698999999999998</v>
      </c>
      <c r="O3" s="12">
        <v>42.497999999999998</v>
      </c>
      <c r="P3" s="12">
        <v>23.943999999999999</v>
      </c>
      <c r="Q3" s="12">
        <v>-64.594999999999999</v>
      </c>
      <c r="R3" s="12">
        <v>99.617999999999995</v>
      </c>
      <c r="S3" s="12">
        <v>-42.015999999999998</v>
      </c>
      <c r="T3" s="12">
        <v>124.23</v>
      </c>
      <c r="U3" s="12">
        <v>-275.95999999999998</v>
      </c>
      <c r="V3" s="12">
        <v>801.35</v>
      </c>
      <c r="W3" s="12">
        <v>-1121.7</v>
      </c>
      <c r="X3" s="13">
        <v>720.12</v>
      </c>
      <c r="Y3" s="12">
        <v>-166.88</v>
      </c>
      <c r="Z3" s="13">
        <v>95.379000000000005</v>
      </c>
      <c r="AA3" s="13">
        <v>-94.293999999999997</v>
      </c>
      <c r="AB3" s="13">
        <v>361.45</v>
      </c>
      <c r="AC3" s="13">
        <v>-611.59</v>
      </c>
      <c r="AD3" s="13">
        <v>493.84</v>
      </c>
      <c r="AE3" s="13">
        <v>-156.4</v>
      </c>
      <c r="AF3" s="14">
        <v>5.62</v>
      </c>
      <c r="AG3" s="14">
        <v>3495</v>
      </c>
      <c r="AH3" s="14">
        <v>950</v>
      </c>
      <c r="AI3" s="15" t="s">
        <v>39</v>
      </c>
      <c r="AJ3" s="16"/>
    </row>
    <row r="4" spans="1:36" x14ac:dyDescent="0.3">
      <c r="A4" s="8" t="s">
        <v>36</v>
      </c>
      <c r="B4" s="9" t="s">
        <v>37</v>
      </c>
      <c r="C4" s="9" t="s">
        <v>38</v>
      </c>
      <c r="D4" s="10">
        <v>34</v>
      </c>
      <c r="E4" s="11">
        <v>782</v>
      </c>
      <c r="F4" s="11">
        <v>2773</v>
      </c>
      <c r="G4" s="11">
        <v>160.80000000000001</v>
      </c>
      <c r="H4" s="12">
        <v>3497</v>
      </c>
      <c r="I4" s="12">
        <v>-63.32</v>
      </c>
      <c r="J4" s="12">
        <v>-44.244999999999997</v>
      </c>
      <c r="K4" s="12">
        <v>705.63</v>
      </c>
      <c r="L4" s="12">
        <v>-1034.9000000000001</v>
      </c>
      <c r="M4" s="13">
        <v>418.1</v>
      </c>
      <c r="N4" s="12">
        <v>40.698999999999998</v>
      </c>
      <c r="O4" s="12">
        <v>42.497999999999998</v>
      </c>
      <c r="P4" s="12">
        <v>23.943999999999999</v>
      </c>
      <c r="Q4" s="12">
        <v>-64.594999999999999</v>
      </c>
      <c r="R4" s="12">
        <v>99.617999999999995</v>
      </c>
      <c r="S4" s="12">
        <v>-42.015999999999998</v>
      </c>
      <c r="T4" s="12">
        <v>124.23</v>
      </c>
      <c r="U4" s="12">
        <v>-275.95999999999998</v>
      </c>
      <c r="V4" s="12">
        <v>801.35</v>
      </c>
      <c r="W4" s="12">
        <v>-1121.7</v>
      </c>
      <c r="X4" s="13">
        <v>720.12</v>
      </c>
      <c r="Y4" s="12">
        <v>-166.88</v>
      </c>
      <c r="Z4" s="13">
        <v>95.379000000000005</v>
      </c>
      <c r="AA4" s="13">
        <v>-94.293999999999997</v>
      </c>
      <c r="AB4" s="13">
        <v>361.45</v>
      </c>
      <c r="AC4" s="13">
        <v>-611.59</v>
      </c>
      <c r="AD4" s="13">
        <v>493.84</v>
      </c>
      <c r="AE4" s="13">
        <v>-156.4</v>
      </c>
      <c r="AF4" s="14">
        <v>5.62</v>
      </c>
      <c r="AG4" s="14">
        <v>3495</v>
      </c>
      <c r="AH4" s="14">
        <v>950</v>
      </c>
      <c r="AI4" s="15" t="s">
        <v>39</v>
      </c>
      <c r="AJ4" s="16"/>
    </row>
    <row r="5" spans="1:36" x14ac:dyDescent="0.3">
      <c r="A5" s="8" t="s">
        <v>36</v>
      </c>
      <c r="B5" s="9" t="s">
        <v>37</v>
      </c>
      <c r="C5" s="9" t="s">
        <v>38</v>
      </c>
      <c r="D5" s="10">
        <v>34</v>
      </c>
      <c r="E5" s="11">
        <v>730</v>
      </c>
      <c r="F5" s="11">
        <v>2844</v>
      </c>
      <c r="G5" s="11">
        <v>155</v>
      </c>
      <c r="H5" s="12">
        <v>3497</v>
      </c>
      <c r="I5" s="12">
        <v>-63.32</v>
      </c>
      <c r="J5" s="12">
        <v>-44.244999999999997</v>
      </c>
      <c r="K5" s="12">
        <v>705.63</v>
      </c>
      <c r="L5" s="12">
        <v>-1034.9000000000001</v>
      </c>
      <c r="M5" s="13">
        <v>418.1</v>
      </c>
      <c r="N5" s="12">
        <v>40.698999999999998</v>
      </c>
      <c r="O5" s="12">
        <v>42.497999999999998</v>
      </c>
      <c r="P5" s="12">
        <v>23.943999999999999</v>
      </c>
      <c r="Q5" s="12">
        <v>-64.594999999999999</v>
      </c>
      <c r="R5" s="12">
        <v>99.617999999999995</v>
      </c>
      <c r="S5" s="12">
        <v>-42.015999999999998</v>
      </c>
      <c r="T5" s="12">
        <v>124.23</v>
      </c>
      <c r="U5" s="12">
        <v>-275.95999999999998</v>
      </c>
      <c r="V5" s="12">
        <v>801.35</v>
      </c>
      <c r="W5" s="12">
        <v>-1121.7</v>
      </c>
      <c r="X5" s="13">
        <v>720.12</v>
      </c>
      <c r="Y5" s="12">
        <v>-166.88</v>
      </c>
      <c r="Z5" s="13">
        <v>95.379000000000005</v>
      </c>
      <c r="AA5" s="13">
        <v>-94.293999999999997</v>
      </c>
      <c r="AB5" s="13">
        <v>361.45</v>
      </c>
      <c r="AC5" s="13">
        <v>-611.59</v>
      </c>
      <c r="AD5" s="13">
        <v>493.84</v>
      </c>
      <c r="AE5" s="13">
        <v>-156.4</v>
      </c>
      <c r="AF5" s="14">
        <v>5.62</v>
      </c>
      <c r="AG5" s="14">
        <v>3495</v>
      </c>
      <c r="AH5" s="14">
        <v>950</v>
      </c>
      <c r="AI5" s="15" t="s">
        <v>39</v>
      </c>
      <c r="AJ5" s="16"/>
    </row>
    <row r="6" spans="1:36" x14ac:dyDescent="0.3">
      <c r="A6" s="8" t="s">
        <v>36</v>
      </c>
      <c r="B6" s="9" t="s">
        <v>37</v>
      </c>
      <c r="C6" s="9" t="s">
        <v>38</v>
      </c>
      <c r="D6" s="10">
        <v>34</v>
      </c>
      <c r="E6" s="11">
        <v>391</v>
      </c>
      <c r="F6" s="11">
        <v>1454</v>
      </c>
      <c r="G6" s="11">
        <v>160.80000000000001</v>
      </c>
      <c r="H6" s="12">
        <v>3497</v>
      </c>
      <c r="I6" s="12">
        <v>-63.32</v>
      </c>
      <c r="J6" s="12">
        <v>-44.244999999999997</v>
      </c>
      <c r="K6" s="12">
        <v>705.63</v>
      </c>
      <c r="L6" s="12">
        <v>-1034.9000000000001</v>
      </c>
      <c r="M6" s="13">
        <v>418.1</v>
      </c>
      <c r="N6" s="12">
        <v>40.698999999999998</v>
      </c>
      <c r="O6" s="12">
        <v>42.497999999999998</v>
      </c>
      <c r="P6" s="12">
        <v>23.943999999999999</v>
      </c>
      <c r="Q6" s="12">
        <v>-64.594999999999999</v>
      </c>
      <c r="R6" s="12">
        <v>99.617999999999995</v>
      </c>
      <c r="S6" s="12">
        <v>-42.015999999999998</v>
      </c>
      <c r="T6" s="12">
        <v>124.23</v>
      </c>
      <c r="U6" s="12">
        <v>-275.95999999999998</v>
      </c>
      <c r="V6" s="12">
        <v>801.35</v>
      </c>
      <c r="W6" s="12">
        <v>-1121.7</v>
      </c>
      <c r="X6" s="13">
        <v>720.12</v>
      </c>
      <c r="Y6" s="12">
        <v>-166.88</v>
      </c>
      <c r="Z6" s="13">
        <v>95.379000000000005</v>
      </c>
      <c r="AA6" s="13">
        <v>-94.293999999999997</v>
      </c>
      <c r="AB6" s="13">
        <v>361.45</v>
      </c>
      <c r="AC6" s="13">
        <v>-611.59</v>
      </c>
      <c r="AD6" s="13">
        <v>493.84</v>
      </c>
      <c r="AE6" s="13">
        <v>-156.4</v>
      </c>
      <c r="AF6" s="14">
        <v>5.62</v>
      </c>
      <c r="AG6" s="14">
        <v>3495</v>
      </c>
      <c r="AH6" s="14">
        <v>950</v>
      </c>
      <c r="AI6" s="15" t="s">
        <v>39</v>
      </c>
      <c r="AJ6" s="16"/>
    </row>
    <row r="7" spans="1:36" x14ac:dyDescent="0.3">
      <c r="A7" s="8" t="s">
        <v>36</v>
      </c>
      <c r="B7" s="9" t="s">
        <v>37</v>
      </c>
      <c r="C7" s="9" t="s">
        <v>38</v>
      </c>
      <c r="D7" s="10">
        <v>18</v>
      </c>
      <c r="E7" s="11">
        <v>104</v>
      </c>
      <c r="F7" s="11">
        <v>2832</v>
      </c>
      <c r="G7" s="11">
        <v>22</v>
      </c>
      <c r="H7" s="12">
        <v>3497</v>
      </c>
      <c r="I7" s="12">
        <v>-63.32</v>
      </c>
      <c r="J7" s="12">
        <v>-44.244999999999997</v>
      </c>
      <c r="K7" s="12">
        <v>705.63</v>
      </c>
      <c r="L7" s="12">
        <v>-1034.9000000000001</v>
      </c>
      <c r="M7" s="13">
        <v>418.1</v>
      </c>
      <c r="N7" s="12">
        <v>40.698999999999998</v>
      </c>
      <c r="O7" s="12">
        <v>42.497999999999998</v>
      </c>
      <c r="P7" s="12">
        <v>23.943999999999999</v>
      </c>
      <c r="Q7" s="12">
        <v>-64.594999999999999</v>
      </c>
      <c r="R7" s="12">
        <v>99.617999999999995</v>
      </c>
      <c r="S7" s="12">
        <v>-42.015999999999998</v>
      </c>
      <c r="T7" s="12">
        <v>124.23</v>
      </c>
      <c r="U7" s="12">
        <v>-275.95999999999998</v>
      </c>
      <c r="V7" s="12">
        <v>801.35</v>
      </c>
      <c r="W7" s="12">
        <v>-1121.7</v>
      </c>
      <c r="X7" s="13">
        <v>720.12</v>
      </c>
      <c r="Y7" s="12">
        <v>-166.88</v>
      </c>
      <c r="Z7" s="13">
        <v>95.379000000000005</v>
      </c>
      <c r="AA7" s="13">
        <v>-94.293999999999997</v>
      </c>
      <c r="AB7" s="13">
        <v>361.45</v>
      </c>
      <c r="AC7" s="13">
        <v>-611.59</v>
      </c>
      <c r="AD7" s="13">
        <v>493.84</v>
      </c>
      <c r="AE7" s="13">
        <v>-156.4</v>
      </c>
      <c r="AF7" s="14">
        <v>5.62</v>
      </c>
      <c r="AG7" s="14">
        <v>3495</v>
      </c>
      <c r="AH7" s="14">
        <v>950</v>
      </c>
      <c r="AI7" s="15" t="s">
        <v>39</v>
      </c>
      <c r="AJ7" s="16"/>
    </row>
    <row r="8" spans="1:36" x14ac:dyDescent="0.3">
      <c r="A8" s="8" t="s">
        <v>36</v>
      </c>
      <c r="B8" s="9" t="s">
        <v>37</v>
      </c>
      <c r="C8" s="9" t="s">
        <v>38</v>
      </c>
      <c r="D8" s="10">
        <v>34</v>
      </c>
      <c r="E8" s="11">
        <v>391</v>
      </c>
      <c r="F8" s="11">
        <v>2287</v>
      </c>
      <c r="G8" s="11">
        <v>92.596774922083213</v>
      </c>
      <c r="H8" s="12">
        <v>3497</v>
      </c>
      <c r="I8" s="12">
        <v>-63.32</v>
      </c>
      <c r="J8" s="12">
        <v>-44.244999999999997</v>
      </c>
      <c r="K8" s="12">
        <v>705.63</v>
      </c>
      <c r="L8" s="12">
        <v>-1034.9000000000001</v>
      </c>
      <c r="M8" s="13">
        <v>418.1</v>
      </c>
      <c r="N8" s="12">
        <v>40.698999999999998</v>
      </c>
      <c r="O8" s="12">
        <v>42.497999999999998</v>
      </c>
      <c r="P8" s="12">
        <v>23.943999999999999</v>
      </c>
      <c r="Q8" s="12">
        <v>-64.594999999999999</v>
      </c>
      <c r="R8" s="12">
        <v>99.617999999999995</v>
      </c>
      <c r="S8" s="12">
        <v>-42.015999999999998</v>
      </c>
      <c r="T8" s="12">
        <v>124.23</v>
      </c>
      <c r="U8" s="12">
        <v>-275.95999999999998</v>
      </c>
      <c r="V8" s="12">
        <v>801.35</v>
      </c>
      <c r="W8" s="12">
        <v>-1121.7</v>
      </c>
      <c r="X8" s="13">
        <v>720.12</v>
      </c>
      <c r="Y8" s="12">
        <v>-166.88</v>
      </c>
      <c r="Z8" s="13">
        <v>95.379000000000005</v>
      </c>
      <c r="AA8" s="13">
        <v>-94.293999999999997</v>
      </c>
      <c r="AB8" s="13">
        <v>361.45</v>
      </c>
      <c r="AC8" s="13">
        <v>-611.59</v>
      </c>
      <c r="AD8" s="13">
        <v>493.84</v>
      </c>
      <c r="AE8" s="13">
        <v>-156.4</v>
      </c>
      <c r="AF8" s="14">
        <v>5.62</v>
      </c>
      <c r="AG8" s="14">
        <v>3495</v>
      </c>
      <c r="AH8" s="14">
        <v>950</v>
      </c>
      <c r="AI8" s="15" t="s">
        <v>39</v>
      </c>
      <c r="AJ8" s="16"/>
    </row>
    <row r="9" spans="1:36" x14ac:dyDescent="0.3">
      <c r="A9" s="8" t="s">
        <v>36</v>
      </c>
      <c r="B9" s="9" t="s">
        <v>37</v>
      </c>
      <c r="C9" s="9" t="s">
        <v>38</v>
      </c>
      <c r="D9" s="10">
        <v>68</v>
      </c>
      <c r="E9" s="11">
        <v>574</v>
      </c>
      <c r="F9" s="11">
        <v>3547</v>
      </c>
      <c r="G9" s="11">
        <v>92.596774922083213</v>
      </c>
      <c r="H9" s="12">
        <v>3497</v>
      </c>
      <c r="I9" s="12">
        <v>-63.32</v>
      </c>
      <c r="J9" s="12">
        <v>-44.244999999999997</v>
      </c>
      <c r="K9" s="12">
        <v>705.63</v>
      </c>
      <c r="L9" s="12">
        <v>-1034.9000000000001</v>
      </c>
      <c r="M9" s="13">
        <v>418.1</v>
      </c>
      <c r="N9" s="12">
        <v>40.698999999999998</v>
      </c>
      <c r="O9" s="12">
        <v>42.497999999999998</v>
      </c>
      <c r="P9" s="12">
        <v>23.943999999999999</v>
      </c>
      <c r="Q9" s="12">
        <v>-64.594999999999999</v>
      </c>
      <c r="R9" s="12">
        <v>99.617999999999995</v>
      </c>
      <c r="S9" s="12">
        <v>-42.015999999999998</v>
      </c>
      <c r="T9" s="12">
        <v>124.23</v>
      </c>
      <c r="U9" s="12">
        <v>-275.95999999999998</v>
      </c>
      <c r="V9" s="12">
        <v>801.35</v>
      </c>
      <c r="W9" s="12">
        <v>-1121.7</v>
      </c>
      <c r="X9" s="13">
        <v>720.12</v>
      </c>
      <c r="Y9" s="12">
        <v>-166.88</v>
      </c>
      <c r="Z9" s="13">
        <v>95.379000000000005</v>
      </c>
      <c r="AA9" s="13">
        <v>-94.293999999999997</v>
      </c>
      <c r="AB9" s="13">
        <v>361.45</v>
      </c>
      <c r="AC9" s="13">
        <v>-611.59</v>
      </c>
      <c r="AD9" s="13">
        <v>493.84</v>
      </c>
      <c r="AE9" s="13">
        <v>-156.4</v>
      </c>
      <c r="AF9" s="14">
        <v>5.62</v>
      </c>
      <c r="AG9" s="14">
        <v>3495</v>
      </c>
      <c r="AH9" s="14">
        <v>950</v>
      </c>
      <c r="AI9" s="15" t="s">
        <v>39</v>
      </c>
      <c r="AJ9" s="16"/>
    </row>
    <row r="10" spans="1:36" x14ac:dyDescent="0.3">
      <c r="A10" s="8" t="s">
        <v>36</v>
      </c>
      <c r="B10" s="9" t="s">
        <v>37</v>
      </c>
      <c r="C10" s="9" t="s">
        <v>38</v>
      </c>
      <c r="D10" s="10">
        <v>68</v>
      </c>
      <c r="E10" s="11">
        <v>574</v>
      </c>
      <c r="F10" s="11">
        <v>3311</v>
      </c>
      <c r="G10" s="11">
        <v>92.596774922083213</v>
      </c>
      <c r="H10" s="12">
        <v>3497</v>
      </c>
      <c r="I10" s="12">
        <v>-63.32</v>
      </c>
      <c r="J10" s="12">
        <v>-44.244999999999997</v>
      </c>
      <c r="K10" s="12">
        <v>705.63</v>
      </c>
      <c r="L10" s="12">
        <v>-1034.9000000000001</v>
      </c>
      <c r="M10" s="13">
        <v>418.1</v>
      </c>
      <c r="N10" s="12">
        <v>40.698999999999998</v>
      </c>
      <c r="O10" s="12">
        <v>42.497999999999998</v>
      </c>
      <c r="P10" s="12">
        <v>23.943999999999999</v>
      </c>
      <c r="Q10" s="12">
        <v>-64.594999999999999</v>
      </c>
      <c r="R10" s="12">
        <v>99.617999999999995</v>
      </c>
      <c r="S10" s="12">
        <v>-42.015999999999998</v>
      </c>
      <c r="T10" s="12">
        <v>124.23</v>
      </c>
      <c r="U10" s="12">
        <v>-275.95999999999998</v>
      </c>
      <c r="V10" s="12">
        <v>801.35</v>
      </c>
      <c r="W10" s="12">
        <v>-1121.7</v>
      </c>
      <c r="X10" s="13">
        <v>720.12</v>
      </c>
      <c r="Y10" s="12">
        <v>-166.88</v>
      </c>
      <c r="Z10" s="13">
        <v>95.379000000000005</v>
      </c>
      <c r="AA10" s="13">
        <v>-94.293999999999997</v>
      </c>
      <c r="AB10" s="13">
        <v>361.45</v>
      </c>
      <c r="AC10" s="13">
        <v>-611.59</v>
      </c>
      <c r="AD10" s="13">
        <v>493.84</v>
      </c>
      <c r="AE10" s="13">
        <v>-156.4</v>
      </c>
      <c r="AF10" s="14">
        <v>5.62</v>
      </c>
      <c r="AG10" s="14">
        <v>3495</v>
      </c>
      <c r="AH10" s="14">
        <v>950</v>
      </c>
      <c r="AI10" s="15" t="s">
        <v>39</v>
      </c>
      <c r="AJ10" s="16"/>
    </row>
    <row r="11" spans="1:36" x14ac:dyDescent="0.3">
      <c r="A11" s="8" t="s">
        <v>36</v>
      </c>
      <c r="B11" s="17" t="s">
        <v>37</v>
      </c>
      <c r="C11" s="9" t="s">
        <v>38</v>
      </c>
      <c r="D11" s="10">
        <v>34</v>
      </c>
      <c r="E11" s="11">
        <v>391</v>
      </c>
      <c r="F11" s="11">
        <v>3564</v>
      </c>
      <c r="G11" s="11">
        <v>92.6</v>
      </c>
      <c r="H11" s="12">
        <v>3497</v>
      </c>
      <c r="I11" s="12">
        <v>-63.32</v>
      </c>
      <c r="J11" s="12">
        <v>-44.244999999999997</v>
      </c>
      <c r="K11" s="12">
        <v>705.63</v>
      </c>
      <c r="L11" s="12">
        <v>-1034.9000000000001</v>
      </c>
      <c r="M11" s="13">
        <v>418.1</v>
      </c>
      <c r="N11" s="12">
        <v>40.698999999999998</v>
      </c>
      <c r="O11" s="12">
        <v>42.497999999999998</v>
      </c>
      <c r="P11" s="12">
        <v>23.943999999999999</v>
      </c>
      <c r="Q11" s="12">
        <v>-64.594999999999999</v>
      </c>
      <c r="R11" s="12">
        <v>99.617999999999995</v>
      </c>
      <c r="S11" s="12">
        <v>-42.015999999999998</v>
      </c>
      <c r="T11" s="12">
        <v>124.23</v>
      </c>
      <c r="U11" s="12">
        <v>-275.95999999999998</v>
      </c>
      <c r="V11" s="12">
        <v>801.35</v>
      </c>
      <c r="W11" s="12">
        <v>-1121.7</v>
      </c>
      <c r="X11" s="13">
        <v>720.12</v>
      </c>
      <c r="Y11" s="12">
        <v>-166.88</v>
      </c>
      <c r="Z11" s="13">
        <v>95.379000000000005</v>
      </c>
      <c r="AA11" s="13">
        <v>-94.293999999999997</v>
      </c>
      <c r="AB11" s="13">
        <v>361.45</v>
      </c>
      <c r="AC11" s="13">
        <v>-611.59</v>
      </c>
      <c r="AD11" s="13">
        <v>493.84</v>
      </c>
      <c r="AE11" s="13">
        <v>-156.4</v>
      </c>
      <c r="AF11" s="14">
        <v>5.62</v>
      </c>
      <c r="AG11" s="14">
        <v>3495</v>
      </c>
      <c r="AH11" s="14">
        <v>950</v>
      </c>
      <c r="AI11" s="15" t="s">
        <v>39</v>
      </c>
      <c r="AJ11" s="16"/>
    </row>
    <row r="12" spans="1:36" x14ac:dyDescent="0.3">
      <c r="A12" s="8" t="s">
        <v>36</v>
      </c>
      <c r="B12" s="9" t="s">
        <v>37</v>
      </c>
      <c r="C12" s="9" t="s">
        <v>38</v>
      </c>
      <c r="D12" s="10">
        <v>68</v>
      </c>
      <c r="E12" s="11">
        <v>574</v>
      </c>
      <c r="F12" s="11">
        <v>3462</v>
      </c>
      <c r="G12" s="11">
        <v>92.596774922083213</v>
      </c>
      <c r="H12" s="12">
        <v>3497</v>
      </c>
      <c r="I12" s="12">
        <v>-63.32</v>
      </c>
      <c r="J12" s="12">
        <v>-44.244999999999997</v>
      </c>
      <c r="K12" s="12">
        <v>705.63</v>
      </c>
      <c r="L12" s="12">
        <v>-1034.9000000000001</v>
      </c>
      <c r="M12" s="13">
        <v>418.1</v>
      </c>
      <c r="N12" s="12">
        <v>40.698999999999998</v>
      </c>
      <c r="O12" s="12">
        <v>42.497999999999998</v>
      </c>
      <c r="P12" s="12">
        <v>23.943999999999999</v>
      </c>
      <c r="Q12" s="12">
        <v>-64.594999999999999</v>
      </c>
      <c r="R12" s="12">
        <v>99.617999999999995</v>
      </c>
      <c r="S12" s="12">
        <v>-42.015999999999998</v>
      </c>
      <c r="T12" s="12">
        <v>124.23</v>
      </c>
      <c r="U12" s="12">
        <v>-275.95999999999998</v>
      </c>
      <c r="V12" s="12">
        <v>801.35</v>
      </c>
      <c r="W12" s="12">
        <v>-1121.7</v>
      </c>
      <c r="X12" s="13">
        <v>720.12</v>
      </c>
      <c r="Y12" s="12">
        <v>-166.88</v>
      </c>
      <c r="Z12" s="13">
        <v>95.379000000000005</v>
      </c>
      <c r="AA12" s="13">
        <v>-94.293999999999997</v>
      </c>
      <c r="AB12" s="13">
        <v>361.45</v>
      </c>
      <c r="AC12" s="13">
        <v>-611.59</v>
      </c>
      <c r="AD12" s="13">
        <v>493.84</v>
      </c>
      <c r="AE12" s="13">
        <v>-156.4</v>
      </c>
      <c r="AF12" s="14">
        <v>5.62</v>
      </c>
      <c r="AG12" s="14">
        <v>3495</v>
      </c>
      <c r="AH12" s="14">
        <v>950</v>
      </c>
      <c r="AI12" s="15" t="s">
        <v>39</v>
      </c>
      <c r="AJ12" s="16"/>
    </row>
    <row r="13" spans="1:36" x14ac:dyDescent="0.3">
      <c r="A13" s="8" t="s">
        <v>36</v>
      </c>
      <c r="B13" s="9" t="s">
        <v>37</v>
      </c>
      <c r="C13" s="9" t="s">
        <v>38</v>
      </c>
      <c r="D13" s="10">
        <v>25.7</v>
      </c>
      <c r="E13" s="11">
        <v>287</v>
      </c>
      <c r="F13" s="11">
        <v>1731</v>
      </c>
      <c r="G13" s="11">
        <v>92.596774922083213</v>
      </c>
      <c r="H13" s="12">
        <v>3497</v>
      </c>
      <c r="I13" s="12">
        <v>-63.32</v>
      </c>
      <c r="J13" s="12">
        <v>-44.244999999999997</v>
      </c>
      <c r="K13" s="12">
        <v>705.63</v>
      </c>
      <c r="L13" s="12">
        <v>-1034.9000000000001</v>
      </c>
      <c r="M13" s="13">
        <v>418.1</v>
      </c>
      <c r="N13" s="12">
        <v>40.698999999999998</v>
      </c>
      <c r="O13" s="12">
        <v>42.497999999999998</v>
      </c>
      <c r="P13" s="12">
        <v>23.943999999999999</v>
      </c>
      <c r="Q13" s="12">
        <v>-64.594999999999999</v>
      </c>
      <c r="R13" s="12">
        <v>99.617999999999995</v>
      </c>
      <c r="S13" s="12">
        <v>-42.015999999999998</v>
      </c>
      <c r="T13" s="12">
        <v>124.23</v>
      </c>
      <c r="U13" s="12">
        <v>-275.95999999999998</v>
      </c>
      <c r="V13" s="12">
        <v>801.35</v>
      </c>
      <c r="W13" s="12">
        <v>-1121.7</v>
      </c>
      <c r="X13" s="13">
        <v>720.12</v>
      </c>
      <c r="Y13" s="12">
        <v>-166.88</v>
      </c>
      <c r="Z13" s="13">
        <v>95.379000000000005</v>
      </c>
      <c r="AA13" s="13">
        <v>-94.293999999999997</v>
      </c>
      <c r="AB13" s="13">
        <v>361.45</v>
      </c>
      <c r="AC13" s="13">
        <v>-611.59</v>
      </c>
      <c r="AD13" s="13">
        <v>493.84</v>
      </c>
      <c r="AE13" s="13">
        <v>-156.4</v>
      </c>
      <c r="AF13" s="14">
        <v>5.62</v>
      </c>
      <c r="AG13" s="14">
        <v>3495</v>
      </c>
      <c r="AH13" s="14">
        <v>950</v>
      </c>
      <c r="AI13" s="15" t="s">
        <v>39</v>
      </c>
      <c r="AJ13" s="16"/>
    </row>
    <row r="14" spans="1:36" x14ac:dyDescent="0.3">
      <c r="A14" s="8" t="s">
        <v>36</v>
      </c>
      <c r="B14" s="9" t="s">
        <v>37</v>
      </c>
      <c r="C14" s="9" t="s">
        <v>38</v>
      </c>
      <c r="D14" s="10">
        <v>34</v>
      </c>
      <c r="E14" s="11">
        <v>391</v>
      </c>
      <c r="F14" s="11">
        <v>2217</v>
      </c>
      <c r="G14" s="11">
        <v>92.596774922083213</v>
      </c>
      <c r="H14" s="12">
        <v>3497</v>
      </c>
      <c r="I14" s="12">
        <v>-63.32</v>
      </c>
      <c r="J14" s="12">
        <v>-44.244999999999997</v>
      </c>
      <c r="K14" s="12">
        <v>705.63</v>
      </c>
      <c r="L14" s="12">
        <v>-1034.9000000000001</v>
      </c>
      <c r="M14" s="13">
        <v>418.1</v>
      </c>
      <c r="N14" s="12">
        <v>40.698999999999998</v>
      </c>
      <c r="O14" s="12">
        <v>42.497999999999998</v>
      </c>
      <c r="P14" s="12">
        <v>23.943999999999999</v>
      </c>
      <c r="Q14" s="12">
        <v>-64.594999999999999</v>
      </c>
      <c r="R14" s="12">
        <v>99.617999999999995</v>
      </c>
      <c r="S14" s="12">
        <v>-42.015999999999998</v>
      </c>
      <c r="T14" s="12">
        <v>124.23</v>
      </c>
      <c r="U14" s="12">
        <v>-275.95999999999998</v>
      </c>
      <c r="V14" s="12">
        <v>801.35</v>
      </c>
      <c r="W14" s="12">
        <v>-1121.7</v>
      </c>
      <c r="X14" s="13">
        <v>720.12</v>
      </c>
      <c r="Y14" s="12">
        <v>-166.88</v>
      </c>
      <c r="Z14" s="13">
        <v>95.379000000000005</v>
      </c>
      <c r="AA14" s="13">
        <v>-94.293999999999997</v>
      </c>
      <c r="AB14" s="13">
        <v>361.45</v>
      </c>
      <c r="AC14" s="13">
        <v>-611.59</v>
      </c>
      <c r="AD14" s="13">
        <v>493.84</v>
      </c>
      <c r="AE14" s="13">
        <v>-156.4</v>
      </c>
      <c r="AF14" s="14">
        <v>5.62</v>
      </c>
      <c r="AG14" s="14">
        <v>3495</v>
      </c>
      <c r="AH14" s="14">
        <v>950</v>
      </c>
      <c r="AI14" s="15" t="s">
        <v>39</v>
      </c>
      <c r="AJ14" s="16"/>
    </row>
    <row r="15" spans="1:36" x14ac:dyDescent="0.3">
      <c r="A15" s="8" t="s">
        <v>36</v>
      </c>
      <c r="B15" s="9" t="s">
        <v>37</v>
      </c>
      <c r="C15" s="9" t="s">
        <v>38</v>
      </c>
      <c r="D15" s="10">
        <v>34</v>
      </c>
      <c r="E15" s="11">
        <v>15</v>
      </c>
      <c r="F15" s="11">
        <v>2043</v>
      </c>
      <c r="G15" s="11">
        <v>92.596774922083213</v>
      </c>
      <c r="H15" s="12">
        <v>3497</v>
      </c>
      <c r="I15" s="12">
        <v>-63.32</v>
      </c>
      <c r="J15" s="12">
        <v>-44.244999999999997</v>
      </c>
      <c r="K15" s="12">
        <v>705.63</v>
      </c>
      <c r="L15" s="12">
        <v>-1034.9000000000001</v>
      </c>
      <c r="M15" s="13">
        <v>418.1</v>
      </c>
      <c r="N15" s="12">
        <v>40.698999999999998</v>
      </c>
      <c r="O15" s="12">
        <v>42.497999999999998</v>
      </c>
      <c r="P15" s="12">
        <v>23.943999999999999</v>
      </c>
      <c r="Q15" s="12">
        <v>-64.594999999999999</v>
      </c>
      <c r="R15" s="12">
        <v>99.617999999999995</v>
      </c>
      <c r="S15" s="12">
        <v>-42.015999999999998</v>
      </c>
      <c r="T15" s="12">
        <v>124.23</v>
      </c>
      <c r="U15" s="12">
        <v>-275.95999999999998</v>
      </c>
      <c r="V15" s="12">
        <v>801.35</v>
      </c>
      <c r="W15" s="12">
        <v>-1121.7</v>
      </c>
      <c r="X15" s="13">
        <v>720.12</v>
      </c>
      <c r="Y15" s="12">
        <v>-166.88</v>
      </c>
      <c r="Z15" s="13">
        <v>95.379000000000005</v>
      </c>
      <c r="AA15" s="13">
        <v>-94.293999999999997</v>
      </c>
      <c r="AB15" s="13">
        <v>361.45</v>
      </c>
      <c r="AC15" s="13">
        <v>-611.59</v>
      </c>
      <c r="AD15" s="13">
        <v>493.84</v>
      </c>
      <c r="AE15" s="13">
        <v>-156.4</v>
      </c>
      <c r="AF15" s="14">
        <v>5.62</v>
      </c>
      <c r="AG15" s="14">
        <v>3495</v>
      </c>
      <c r="AH15" s="14">
        <v>950</v>
      </c>
      <c r="AI15" s="15" t="s">
        <v>39</v>
      </c>
      <c r="AJ15" s="16"/>
    </row>
    <row r="16" spans="1:36" x14ac:dyDescent="0.3">
      <c r="A16" s="8" t="s">
        <v>36</v>
      </c>
      <c r="B16" s="9" t="s">
        <v>37</v>
      </c>
      <c r="C16" s="9" t="s">
        <v>38</v>
      </c>
      <c r="D16" s="10">
        <v>68</v>
      </c>
      <c r="E16" s="11">
        <v>574</v>
      </c>
      <c r="F16" s="11">
        <v>3462</v>
      </c>
      <c r="G16" s="11">
        <v>92.596774922083213</v>
      </c>
      <c r="H16" s="12">
        <v>3497</v>
      </c>
      <c r="I16" s="12">
        <v>-63.32</v>
      </c>
      <c r="J16" s="12">
        <v>-44.244999999999997</v>
      </c>
      <c r="K16" s="12">
        <v>705.63</v>
      </c>
      <c r="L16" s="12">
        <v>-1034.9000000000001</v>
      </c>
      <c r="M16" s="13">
        <v>418.1</v>
      </c>
      <c r="N16" s="12">
        <v>40.698999999999998</v>
      </c>
      <c r="O16" s="12">
        <v>42.497999999999998</v>
      </c>
      <c r="P16" s="12">
        <v>23.943999999999999</v>
      </c>
      <c r="Q16" s="12">
        <v>-64.594999999999999</v>
      </c>
      <c r="R16" s="12">
        <v>99.617999999999995</v>
      </c>
      <c r="S16" s="12">
        <v>-42.015999999999998</v>
      </c>
      <c r="T16" s="12">
        <v>124.23</v>
      </c>
      <c r="U16" s="12">
        <v>-275.95999999999998</v>
      </c>
      <c r="V16" s="12">
        <v>801.35</v>
      </c>
      <c r="W16" s="12">
        <v>-1121.7</v>
      </c>
      <c r="X16" s="13">
        <v>720.12</v>
      </c>
      <c r="Y16" s="12">
        <v>-166.88</v>
      </c>
      <c r="Z16" s="13">
        <v>95.379000000000005</v>
      </c>
      <c r="AA16" s="13">
        <v>-94.293999999999997</v>
      </c>
      <c r="AB16" s="13">
        <v>361.45</v>
      </c>
      <c r="AC16" s="13">
        <v>-611.59</v>
      </c>
      <c r="AD16" s="13">
        <v>493.84</v>
      </c>
      <c r="AE16" s="13">
        <v>-156.4</v>
      </c>
      <c r="AF16" s="14">
        <v>5.62</v>
      </c>
      <c r="AG16" s="14">
        <v>3495</v>
      </c>
      <c r="AH16" s="14">
        <v>950</v>
      </c>
      <c r="AI16" s="15" t="s">
        <v>39</v>
      </c>
      <c r="AJ16" s="16"/>
    </row>
    <row r="17" spans="1:36" x14ac:dyDescent="0.3">
      <c r="A17" s="8" t="s">
        <v>36</v>
      </c>
      <c r="B17" s="9" t="s">
        <v>37</v>
      </c>
      <c r="C17" s="9" t="s">
        <v>38</v>
      </c>
      <c r="D17" s="10">
        <v>68</v>
      </c>
      <c r="E17" s="11">
        <v>400</v>
      </c>
      <c r="F17" s="11">
        <v>3354</v>
      </c>
      <c r="G17" s="11">
        <v>74</v>
      </c>
      <c r="H17" s="12">
        <v>3497</v>
      </c>
      <c r="I17" s="12">
        <v>-63.32</v>
      </c>
      <c r="J17" s="12">
        <v>-44.244999999999997</v>
      </c>
      <c r="K17" s="12">
        <v>705.63</v>
      </c>
      <c r="L17" s="12">
        <v>-1034.9000000000001</v>
      </c>
      <c r="M17" s="13">
        <v>418.1</v>
      </c>
      <c r="N17" s="12">
        <v>40.698999999999998</v>
      </c>
      <c r="O17" s="12">
        <v>42.497999999999998</v>
      </c>
      <c r="P17" s="12">
        <v>23.943999999999999</v>
      </c>
      <c r="Q17" s="12">
        <v>-64.594999999999999</v>
      </c>
      <c r="R17" s="12">
        <v>99.617999999999995</v>
      </c>
      <c r="S17" s="12">
        <v>-42.015999999999998</v>
      </c>
      <c r="T17" s="12">
        <v>124.23</v>
      </c>
      <c r="U17" s="12">
        <v>-275.95999999999998</v>
      </c>
      <c r="V17" s="12">
        <v>801.35</v>
      </c>
      <c r="W17" s="12">
        <v>-1121.7</v>
      </c>
      <c r="X17" s="13">
        <v>720.12</v>
      </c>
      <c r="Y17" s="12">
        <v>-166.88</v>
      </c>
      <c r="Z17" s="13">
        <v>95.379000000000005</v>
      </c>
      <c r="AA17" s="13">
        <v>-94.293999999999997</v>
      </c>
      <c r="AB17" s="13">
        <v>361.45</v>
      </c>
      <c r="AC17" s="13">
        <v>-611.59</v>
      </c>
      <c r="AD17" s="13">
        <v>493.84</v>
      </c>
      <c r="AE17" s="13">
        <v>-156.4</v>
      </c>
      <c r="AF17" s="14">
        <v>5.62</v>
      </c>
      <c r="AG17" s="14">
        <v>3495</v>
      </c>
      <c r="AH17" s="14">
        <v>950</v>
      </c>
      <c r="AI17" s="15" t="s">
        <v>39</v>
      </c>
      <c r="AJ17" s="16"/>
    </row>
    <row r="18" spans="1:36" x14ac:dyDescent="0.3">
      <c r="A18" s="8" t="s">
        <v>36</v>
      </c>
      <c r="B18" s="9" t="s">
        <v>37</v>
      </c>
      <c r="C18" s="9" t="s">
        <v>38</v>
      </c>
      <c r="D18" s="10">
        <v>68</v>
      </c>
      <c r="E18" s="11">
        <v>574</v>
      </c>
      <c r="F18" s="11">
        <v>3547</v>
      </c>
      <c r="G18" s="11">
        <v>92.596774922083213</v>
      </c>
      <c r="H18" s="12">
        <v>3497</v>
      </c>
      <c r="I18" s="12">
        <v>-63.32</v>
      </c>
      <c r="J18" s="12">
        <v>-44.244999999999997</v>
      </c>
      <c r="K18" s="12">
        <v>705.63</v>
      </c>
      <c r="L18" s="12">
        <v>-1034.9000000000001</v>
      </c>
      <c r="M18" s="13">
        <v>418.1</v>
      </c>
      <c r="N18" s="12">
        <v>40.698999999999998</v>
      </c>
      <c r="O18" s="12">
        <v>42.497999999999998</v>
      </c>
      <c r="P18" s="12">
        <v>23.943999999999999</v>
      </c>
      <c r="Q18" s="12">
        <v>-64.594999999999999</v>
      </c>
      <c r="R18" s="12">
        <v>99.617999999999995</v>
      </c>
      <c r="S18" s="12">
        <v>-42.015999999999998</v>
      </c>
      <c r="T18" s="12">
        <v>124.23</v>
      </c>
      <c r="U18" s="12">
        <v>-275.95999999999998</v>
      </c>
      <c r="V18" s="12">
        <v>801.35</v>
      </c>
      <c r="W18" s="12">
        <v>-1121.7</v>
      </c>
      <c r="X18" s="13">
        <v>720.12</v>
      </c>
      <c r="Y18" s="12">
        <v>-166.88</v>
      </c>
      <c r="Z18" s="13">
        <v>95.379000000000005</v>
      </c>
      <c r="AA18" s="13">
        <v>-94.293999999999997</v>
      </c>
      <c r="AB18" s="13">
        <v>361.45</v>
      </c>
      <c r="AC18" s="13">
        <v>-611.59</v>
      </c>
      <c r="AD18" s="13">
        <v>493.84</v>
      </c>
      <c r="AE18" s="13">
        <v>-156.4</v>
      </c>
      <c r="AF18" s="14">
        <v>5.62</v>
      </c>
      <c r="AG18" s="14">
        <v>3495</v>
      </c>
      <c r="AH18" s="14">
        <v>950</v>
      </c>
      <c r="AI18" s="15" t="s">
        <v>39</v>
      </c>
      <c r="AJ18" s="16"/>
    </row>
    <row r="19" spans="1:36" x14ac:dyDescent="0.3">
      <c r="A19" s="8" t="s">
        <v>36</v>
      </c>
      <c r="B19" s="17" t="s">
        <v>40</v>
      </c>
      <c r="C19" s="9" t="s">
        <v>38</v>
      </c>
      <c r="D19" s="10">
        <v>31</v>
      </c>
      <c r="E19" s="11">
        <v>206</v>
      </c>
      <c r="F19" s="11">
        <v>1330</v>
      </c>
      <c r="G19" s="11">
        <v>99</v>
      </c>
      <c r="H19" s="12">
        <v>2678.1831999999999</v>
      </c>
      <c r="I19" s="12">
        <v>5485.6889000000001</v>
      </c>
      <c r="J19" s="12">
        <v>-14259.41</v>
      </c>
      <c r="K19" s="12">
        <v>17906.57</v>
      </c>
      <c r="L19" s="12">
        <v>-11160.13</v>
      </c>
      <c r="M19" s="13">
        <v>2764.1774999999998</v>
      </c>
      <c r="N19" s="12">
        <v>-55.941200000000002</v>
      </c>
      <c r="O19" s="12">
        <v>543.31503999999995</v>
      </c>
      <c r="P19" s="12">
        <v>-1224.143</v>
      </c>
      <c r="Q19" s="12">
        <v>1669.5468000000001</v>
      </c>
      <c r="R19" s="12">
        <v>-1144.998</v>
      </c>
      <c r="S19" s="12">
        <v>312.10921999999999</v>
      </c>
      <c r="T19" s="12">
        <v>288.95916999999997</v>
      </c>
      <c r="U19" s="12">
        <v>-1608.942</v>
      </c>
      <c r="V19" s="12">
        <v>4733.8590999999997</v>
      </c>
      <c r="W19" s="12">
        <v>-6670.8010000000004</v>
      </c>
      <c r="X19" s="13">
        <v>4530.6298999999999</v>
      </c>
      <c r="Y19" s="12">
        <v>-1193.3420000000001</v>
      </c>
      <c r="Z19" s="13">
        <v>-53.766300000000001</v>
      </c>
      <c r="AA19" s="13">
        <v>701.77335999999991</v>
      </c>
      <c r="AB19" s="13">
        <v>-1267.423</v>
      </c>
      <c r="AC19" s="13">
        <v>934.89398000000006</v>
      </c>
      <c r="AD19" s="13">
        <v>-181.85579999999999</v>
      </c>
      <c r="AE19" s="13">
        <v>-49.545999999999999</v>
      </c>
      <c r="AF19" s="14">
        <v>4.5599999999999996</v>
      </c>
      <c r="AG19" s="14">
        <v>3500</v>
      </c>
      <c r="AH19" s="14">
        <v>450</v>
      </c>
      <c r="AI19" s="15" t="s">
        <v>39</v>
      </c>
      <c r="AJ19" s="16"/>
    </row>
    <row r="20" spans="1:36" x14ac:dyDescent="0.3">
      <c r="A20" s="8" t="s">
        <v>36</v>
      </c>
      <c r="B20" s="17" t="s">
        <v>40</v>
      </c>
      <c r="C20" s="9" t="s">
        <v>38</v>
      </c>
      <c r="D20" s="10">
        <v>31</v>
      </c>
      <c r="E20" s="11">
        <v>110</v>
      </c>
      <c r="F20" s="11">
        <v>2184</v>
      </c>
      <c r="G20" s="11">
        <v>33</v>
      </c>
      <c r="H20" s="12">
        <v>3546.2272727272298</v>
      </c>
      <c r="I20" s="12">
        <v>236.12500000040501</v>
      </c>
      <c r="J20" s="12">
        <v>-1133.9233682997501</v>
      </c>
      <c r="K20" s="12">
        <v>1748.61596736811</v>
      </c>
      <c r="L20" s="12">
        <v>-1316.2878787894199</v>
      </c>
      <c r="M20" s="13">
        <v>368.58974359016202</v>
      </c>
      <c r="N20" s="12">
        <v>33.045454545453801</v>
      </c>
      <c r="O20" s="12">
        <v>58.639277389283698</v>
      </c>
      <c r="P20" s="12">
        <v>4.18123543121499</v>
      </c>
      <c r="Q20" s="12">
        <v>3.2051282051591401</v>
      </c>
      <c r="R20" s="12">
        <v>1.4568764568543</v>
      </c>
      <c r="S20" s="12">
        <v>6.0492590746374096E-12</v>
      </c>
      <c r="T20" s="12">
        <v>42.231818181816102</v>
      </c>
      <c r="U20" s="12">
        <v>-61.005944055924999</v>
      </c>
      <c r="V20" s="12">
        <v>624.51631701625797</v>
      </c>
      <c r="W20" s="12">
        <v>-1125.14568764561</v>
      </c>
      <c r="X20" s="13">
        <v>811.77156177151096</v>
      </c>
      <c r="Y20" s="12">
        <v>-211.53846153845001</v>
      </c>
      <c r="Z20" s="13">
        <v>6.66818181818204</v>
      </c>
      <c r="AA20" s="13">
        <v>174.41488927738601</v>
      </c>
      <c r="AB20" s="13">
        <v>88.814831002346907</v>
      </c>
      <c r="AC20" s="13">
        <v>-562.33245920749198</v>
      </c>
      <c r="AD20" s="13">
        <v>540.42832167835002</v>
      </c>
      <c r="AE20" s="13">
        <v>-165.06410256411201</v>
      </c>
      <c r="AF20" s="14">
        <v>4.5599999999999996</v>
      </c>
      <c r="AG20" s="14">
        <v>3500</v>
      </c>
      <c r="AH20" s="14">
        <v>450</v>
      </c>
      <c r="AI20" s="15" t="s">
        <v>39</v>
      </c>
      <c r="AJ20" s="16"/>
    </row>
    <row r="21" spans="1:36" x14ac:dyDescent="0.3">
      <c r="A21" s="8" t="s">
        <v>36</v>
      </c>
      <c r="B21" s="17" t="s">
        <v>40</v>
      </c>
      <c r="C21" s="9" t="s">
        <v>38</v>
      </c>
      <c r="D21" s="10">
        <v>31</v>
      </c>
      <c r="E21" s="11">
        <v>90</v>
      </c>
      <c r="F21" s="11">
        <v>2245</v>
      </c>
      <c r="G21" s="11">
        <v>28.4</v>
      </c>
      <c r="H21" s="12">
        <v>3546.2272727272298</v>
      </c>
      <c r="I21" s="12">
        <v>236.12500000040501</v>
      </c>
      <c r="J21" s="12">
        <v>-1133.9233682997501</v>
      </c>
      <c r="K21" s="12">
        <v>1748.61596736811</v>
      </c>
      <c r="L21" s="12">
        <v>-1316.2878787894199</v>
      </c>
      <c r="M21" s="13">
        <v>368.58974359016202</v>
      </c>
      <c r="N21" s="12">
        <v>33.045454545453801</v>
      </c>
      <c r="O21" s="12">
        <v>58.639277389283698</v>
      </c>
      <c r="P21" s="12">
        <v>4.18123543121499</v>
      </c>
      <c r="Q21" s="12">
        <v>3.2051282051591401</v>
      </c>
      <c r="R21" s="12">
        <v>1.4568764568543</v>
      </c>
      <c r="S21" s="12">
        <v>6.0492590746374096E-12</v>
      </c>
      <c r="T21" s="12">
        <v>42.231818181816102</v>
      </c>
      <c r="U21" s="12">
        <v>-61.005944055924999</v>
      </c>
      <c r="V21" s="12">
        <v>624.51631701625797</v>
      </c>
      <c r="W21" s="12">
        <v>-1125.14568764561</v>
      </c>
      <c r="X21" s="13">
        <v>811.77156177151096</v>
      </c>
      <c r="Y21" s="12">
        <v>-211.53846153845001</v>
      </c>
      <c r="Z21" s="13">
        <v>6.66818181818204</v>
      </c>
      <c r="AA21" s="13">
        <v>174.41488927738601</v>
      </c>
      <c r="AB21" s="13">
        <v>88.814831002346907</v>
      </c>
      <c r="AC21" s="13">
        <v>-562.33245920749198</v>
      </c>
      <c r="AD21" s="13">
        <v>540.42832167835002</v>
      </c>
      <c r="AE21" s="13">
        <v>-165.06410256411201</v>
      </c>
      <c r="AF21" s="14">
        <v>4.5599999999999996</v>
      </c>
      <c r="AG21" s="14">
        <v>3500</v>
      </c>
      <c r="AH21" s="14">
        <v>450</v>
      </c>
      <c r="AI21" s="15" t="s">
        <v>39</v>
      </c>
      <c r="AJ21" s="16"/>
    </row>
    <row r="22" spans="1:36" x14ac:dyDescent="0.3">
      <c r="A22" s="8" t="s">
        <v>36</v>
      </c>
      <c r="B22" s="17" t="s">
        <v>40</v>
      </c>
      <c r="C22" s="9" t="s">
        <v>38</v>
      </c>
      <c r="D22" s="10">
        <v>31</v>
      </c>
      <c r="E22" s="11">
        <v>105</v>
      </c>
      <c r="F22" s="11">
        <v>2144</v>
      </c>
      <c r="G22" s="11">
        <v>32</v>
      </c>
      <c r="H22" s="12">
        <v>3546.2272727272298</v>
      </c>
      <c r="I22" s="12">
        <v>236.12500000040501</v>
      </c>
      <c r="J22" s="12">
        <v>-1133.9233682997501</v>
      </c>
      <c r="K22" s="12">
        <v>1748.61596736811</v>
      </c>
      <c r="L22" s="12">
        <v>-1316.2878787894199</v>
      </c>
      <c r="M22" s="13">
        <v>368.58974359016202</v>
      </c>
      <c r="N22" s="12">
        <v>33.045454545453801</v>
      </c>
      <c r="O22" s="12">
        <v>58.639277389283698</v>
      </c>
      <c r="P22" s="12">
        <v>4.18123543121499</v>
      </c>
      <c r="Q22" s="12">
        <v>3.2051282051591401</v>
      </c>
      <c r="R22" s="12">
        <v>1.4568764568543</v>
      </c>
      <c r="S22" s="12">
        <v>6.0492590746374096E-12</v>
      </c>
      <c r="T22" s="12">
        <v>42.231818181816102</v>
      </c>
      <c r="U22" s="12">
        <v>-61.005944055924999</v>
      </c>
      <c r="V22" s="12">
        <v>624.51631701625797</v>
      </c>
      <c r="W22" s="12">
        <v>-1125.14568764561</v>
      </c>
      <c r="X22" s="13">
        <v>811.77156177151096</v>
      </c>
      <c r="Y22" s="12">
        <v>-211.53846153845001</v>
      </c>
      <c r="Z22" s="13">
        <v>6.66818181818204</v>
      </c>
      <c r="AA22" s="13">
        <v>174.41488927738601</v>
      </c>
      <c r="AB22" s="13">
        <v>88.814831002346907</v>
      </c>
      <c r="AC22" s="13">
        <v>-562.33245920749198</v>
      </c>
      <c r="AD22" s="13">
        <v>540.42832167835002</v>
      </c>
      <c r="AE22" s="13">
        <v>-165.06410256411201</v>
      </c>
      <c r="AF22" s="14">
        <v>4.5599999999999996</v>
      </c>
      <c r="AG22" s="14">
        <v>3500</v>
      </c>
      <c r="AH22" s="14">
        <v>450</v>
      </c>
      <c r="AI22" s="15" t="s">
        <v>39</v>
      </c>
      <c r="AJ22" s="16"/>
    </row>
    <row r="23" spans="1:36" x14ac:dyDescent="0.3">
      <c r="A23" s="8" t="s">
        <v>36</v>
      </c>
      <c r="B23" s="17" t="s">
        <v>40</v>
      </c>
      <c r="C23" s="9" t="s">
        <v>38</v>
      </c>
      <c r="D23" s="10">
        <v>31</v>
      </c>
      <c r="E23" s="11">
        <v>43.5</v>
      </c>
      <c r="F23" s="11">
        <v>1330</v>
      </c>
      <c r="G23" s="11">
        <v>23.020375447306588</v>
      </c>
      <c r="H23" s="12">
        <v>3546.2272727272298</v>
      </c>
      <c r="I23" s="12">
        <v>236.12500000040501</v>
      </c>
      <c r="J23" s="12">
        <v>-1133.9233682997501</v>
      </c>
      <c r="K23" s="12">
        <v>1748.61596736811</v>
      </c>
      <c r="L23" s="12">
        <v>-1316.2878787894199</v>
      </c>
      <c r="M23" s="13">
        <v>368.58974359016202</v>
      </c>
      <c r="N23" s="12">
        <v>33.045454545453801</v>
      </c>
      <c r="O23" s="12">
        <v>58.639277389283698</v>
      </c>
      <c r="P23" s="12">
        <v>4.18123543121499</v>
      </c>
      <c r="Q23" s="12">
        <v>3.2051282051591401</v>
      </c>
      <c r="R23" s="12">
        <v>1.4568764568543</v>
      </c>
      <c r="S23" s="12">
        <v>6.0492590746374096E-12</v>
      </c>
      <c r="T23" s="12">
        <v>42.231818181816102</v>
      </c>
      <c r="U23" s="12">
        <v>-61.005944055924999</v>
      </c>
      <c r="V23" s="12">
        <v>624.51631701625797</v>
      </c>
      <c r="W23" s="12">
        <v>-1125.14568764561</v>
      </c>
      <c r="X23" s="13">
        <v>811.77156177151096</v>
      </c>
      <c r="Y23" s="12">
        <v>-211.53846153845001</v>
      </c>
      <c r="Z23" s="13">
        <v>6.66818181818204</v>
      </c>
      <c r="AA23" s="13">
        <v>174.41488927738601</v>
      </c>
      <c r="AB23" s="13">
        <v>88.814831002346907</v>
      </c>
      <c r="AC23" s="13">
        <v>-562.33245920749198</v>
      </c>
      <c r="AD23" s="13">
        <v>540.42832167835002</v>
      </c>
      <c r="AE23" s="13">
        <v>-165.06410256411201</v>
      </c>
      <c r="AF23" s="14">
        <v>4.5599999999999996</v>
      </c>
      <c r="AG23" s="14">
        <v>3500</v>
      </c>
      <c r="AH23" s="14">
        <v>450</v>
      </c>
      <c r="AI23" s="15" t="s">
        <v>39</v>
      </c>
      <c r="AJ23" s="16"/>
    </row>
    <row r="24" spans="1:36" x14ac:dyDescent="0.3">
      <c r="A24" s="8" t="s">
        <v>36</v>
      </c>
      <c r="B24" s="9" t="s">
        <v>37</v>
      </c>
      <c r="C24" s="9" t="s">
        <v>38</v>
      </c>
      <c r="D24" s="10">
        <v>34</v>
      </c>
      <c r="E24" s="11">
        <v>339</v>
      </c>
      <c r="F24" s="11">
        <v>3019</v>
      </c>
      <c r="G24" s="11">
        <v>57.8</v>
      </c>
      <c r="H24" s="12">
        <v>3497</v>
      </c>
      <c r="I24" s="12">
        <v>-63.32</v>
      </c>
      <c r="J24" s="12">
        <v>-44.244999999999997</v>
      </c>
      <c r="K24" s="12">
        <v>705.63</v>
      </c>
      <c r="L24" s="12">
        <v>-1034.9000000000001</v>
      </c>
      <c r="M24" s="13">
        <v>418.1</v>
      </c>
      <c r="N24" s="12">
        <v>40.698999999999998</v>
      </c>
      <c r="O24" s="12">
        <v>42.497999999999998</v>
      </c>
      <c r="P24" s="12">
        <v>23.943999999999999</v>
      </c>
      <c r="Q24" s="12">
        <v>-64.594999999999999</v>
      </c>
      <c r="R24" s="12">
        <v>99.617999999999995</v>
      </c>
      <c r="S24" s="12">
        <v>-42.015999999999998</v>
      </c>
      <c r="T24" s="12">
        <v>124.23</v>
      </c>
      <c r="U24" s="12">
        <v>-275.95999999999998</v>
      </c>
      <c r="V24" s="12">
        <v>801.35</v>
      </c>
      <c r="W24" s="12">
        <v>-1121.7</v>
      </c>
      <c r="X24" s="13">
        <v>720.12</v>
      </c>
      <c r="Y24" s="12">
        <v>-166.88</v>
      </c>
      <c r="Z24" s="13">
        <v>95.379000000000005</v>
      </c>
      <c r="AA24" s="13">
        <v>-94.293999999999997</v>
      </c>
      <c r="AB24" s="13">
        <v>361.45</v>
      </c>
      <c r="AC24" s="13">
        <v>-611.59</v>
      </c>
      <c r="AD24" s="13">
        <v>493.84</v>
      </c>
      <c r="AE24" s="13">
        <v>-156.4</v>
      </c>
      <c r="AF24" s="14">
        <v>5.62</v>
      </c>
      <c r="AG24" s="14">
        <v>3495</v>
      </c>
      <c r="AH24" s="14">
        <v>950</v>
      </c>
      <c r="AI24" s="15" t="s">
        <v>39</v>
      </c>
      <c r="AJ24" s="16"/>
    </row>
    <row r="25" spans="1:36" x14ac:dyDescent="0.3">
      <c r="A25" s="8" t="s">
        <v>36</v>
      </c>
      <c r="B25" s="9" t="s">
        <v>37</v>
      </c>
      <c r="C25" s="9" t="s">
        <v>38</v>
      </c>
      <c r="D25" s="10">
        <v>34</v>
      </c>
      <c r="E25" s="11">
        <v>391</v>
      </c>
      <c r="F25" s="11">
        <v>3210</v>
      </c>
      <c r="G25" s="11">
        <v>66.400000000000006</v>
      </c>
      <c r="H25" s="12">
        <v>3497</v>
      </c>
      <c r="I25" s="12">
        <v>-63.32</v>
      </c>
      <c r="J25" s="12">
        <v>-44.244999999999997</v>
      </c>
      <c r="K25" s="12">
        <v>705.63</v>
      </c>
      <c r="L25" s="12">
        <v>-1034.9000000000001</v>
      </c>
      <c r="M25" s="13">
        <v>418.1</v>
      </c>
      <c r="N25" s="12">
        <v>40.698999999999998</v>
      </c>
      <c r="O25" s="12">
        <v>42.497999999999998</v>
      </c>
      <c r="P25" s="12">
        <v>23.943999999999999</v>
      </c>
      <c r="Q25" s="12">
        <v>-64.594999999999999</v>
      </c>
      <c r="R25" s="12">
        <v>99.617999999999995</v>
      </c>
      <c r="S25" s="12">
        <v>-42.015999999999998</v>
      </c>
      <c r="T25" s="12">
        <v>124.23</v>
      </c>
      <c r="U25" s="12">
        <v>-275.95999999999998</v>
      </c>
      <c r="V25" s="12">
        <v>801.35</v>
      </c>
      <c r="W25" s="12">
        <v>-1121.7</v>
      </c>
      <c r="X25" s="13">
        <v>720.12</v>
      </c>
      <c r="Y25" s="12">
        <v>-166.88</v>
      </c>
      <c r="Z25" s="13">
        <v>95.379000000000005</v>
      </c>
      <c r="AA25" s="13">
        <v>-94.293999999999997</v>
      </c>
      <c r="AB25" s="13">
        <v>361.45</v>
      </c>
      <c r="AC25" s="13">
        <v>-611.59</v>
      </c>
      <c r="AD25" s="13">
        <v>493.84</v>
      </c>
      <c r="AE25" s="13">
        <v>-156.4</v>
      </c>
      <c r="AF25" s="14">
        <v>5.62</v>
      </c>
      <c r="AG25" s="14">
        <v>3495</v>
      </c>
      <c r="AH25" s="14">
        <v>950</v>
      </c>
      <c r="AI25" s="15" t="s">
        <v>39</v>
      </c>
      <c r="AJ25" s="16"/>
    </row>
    <row r="26" spans="1:36" x14ac:dyDescent="0.3">
      <c r="A26" s="8" t="s">
        <v>36</v>
      </c>
      <c r="B26" s="9" t="s">
        <v>37</v>
      </c>
      <c r="C26" s="9" t="s">
        <v>38</v>
      </c>
      <c r="D26" s="10">
        <v>34</v>
      </c>
      <c r="E26" s="11">
        <v>339</v>
      </c>
      <c r="F26" s="11">
        <v>3352</v>
      </c>
      <c r="G26" s="11">
        <v>57.8</v>
      </c>
      <c r="H26" s="12">
        <v>3497</v>
      </c>
      <c r="I26" s="12">
        <v>-63.32</v>
      </c>
      <c r="J26" s="12">
        <v>-44.244999999999997</v>
      </c>
      <c r="K26" s="12">
        <v>705.63</v>
      </c>
      <c r="L26" s="12">
        <v>-1034.9000000000001</v>
      </c>
      <c r="M26" s="13">
        <v>418.1</v>
      </c>
      <c r="N26" s="12">
        <v>40.698999999999998</v>
      </c>
      <c r="O26" s="12">
        <v>42.497999999999998</v>
      </c>
      <c r="P26" s="12">
        <v>23.943999999999999</v>
      </c>
      <c r="Q26" s="12">
        <v>-64.594999999999999</v>
      </c>
      <c r="R26" s="12">
        <v>99.617999999999995</v>
      </c>
      <c r="S26" s="12">
        <v>-42.015999999999998</v>
      </c>
      <c r="T26" s="12">
        <v>124.23</v>
      </c>
      <c r="U26" s="12">
        <v>-275.95999999999998</v>
      </c>
      <c r="V26" s="12">
        <v>801.35</v>
      </c>
      <c r="W26" s="12">
        <v>-1121.7</v>
      </c>
      <c r="X26" s="13">
        <v>720.12</v>
      </c>
      <c r="Y26" s="12">
        <v>-166.88</v>
      </c>
      <c r="Z26" s="13">
        <v>95.379000000000005</v>
      </c>
      <c r="AA26" s="13">
        <v>-94.293999999999997</v>
      </c>
      <c r="AB26" s="13">
        <v>361.45</v>
      </c>
      <c r="AC26" s="13">
        <v>-611.59</v>
      </c>
      <c r="AD26" s="13">
        <v>493.84</v>
      </c>
      <c r="AE26" s="13">
        <v>-156.4</v>
      </c>
      <c r="AF26" s="14">
        <v>5.62</v>
      </c>
      <c r="AG26" s="14">
        <v>3495</v>
      </c>
      <c r="AH26" s="14">
        <v>950</v>
      </c>
      <c r="AI26" s="15" t="s">
        <v>39</v>
      </c>
      <c r="AJ26" s="16"/>
    </row>
    <row r="27" spans="1:36" x14ac:dyDescent="0.3">
      <c r="A27" s="8" t="s">
        <v>36</v>
      </c>
      <c r="B27" s="9" t="s">
        <v>37</v>
      </c>
      <c r="C27" s="9" t="s">
        <v>38</v>
      </c>
      <c r="D27" s="10">
        <v>34</v>
      </c>
      <c r="E27" s="11">
        <v>365</v>
      </c>
      <c r="F27" s="11">
        <v>3156</v>
      </c>
      <c r="G27" s="11">
        <v>66.400000000000006</v>
      </c>
      <c r="H27" s="12">
        <v>3497</v>
      </c>
      <c r="I27" s="12">
        <v>-63.32</v>
      </c>
      <c r="J27" s="12">
        <v>-44.244999999999997</v>
      </c>
      <c r="K27" s="12">
        <v>705.63</v>
      </c>
      <c r="L27" s="12">
        <v>-1034.9000000000001</v>
      </c>
      <c r="M27" s="13">
        <v>418.1</v>
      </c>
      <c r="N27" s="12">
        <v>40.698999999999998</v>
      </c>
      <c r="O27" s="12">
        <v>42.497999999999998</v>
      </c>
      <c r="P27" s="12">
        <v>23.943999999999999</v>
      </c>
      <c r="Q27" s="12">
        <v>-64.594999999999999</v>
      </c>
      <c r="R27" s="12">
        <v>99.617999999999995</v>
      </c>
      <c r="S27" s="12">
        <v>-42.015999999999998</v>
      </c>
      <c r="T27" s="12">
        <v>124.23</v>
      </c>
      <c r="U27" s="12">
        <v>-275.95999999999998</v>
      </c>
      <c r="V27" s="12">
        <v>801.35</v>
      </c>
      <c r="W27" s="12">
        <v>-1121.7</v>
      </c>
      <c r="X27" s="13">
        <v>720.12</v>
      </c>
      <c r="Y27" s="12">
        <v>-166.88</v>
      </c>
      <c r="Z27" s="13">
        <v>95.379000000000005</v>
      </c>
      <c r="AA27" s="13">
        <v>-94.293999999999997</v>
      </c>
      <c r="AB27" s="13">
        <v>361.45</v>
      </c>
      <c r="AC27" s="13">
        <v>-611.59</v>
      </c>
      <c r="AD27" s="13">
        <v>493.84</v>
      </c>
      <c r="AE27" s="13">
        <v>-156.4</v>
      </c>
      <c r="AF27" s="14">
        <v>5.62</v>
      </c>
      <c r="AG27" s="14">
        <v>3495</v>
      </c>
      <c r="AH27" s="14">
        <v>950</v>
      </c>
      <c r="AI27" s="15" t="s">
        <v>39</v>
      </c>
      <c r="AJ27" s="16"/>
    </row>
    <row r="28" spans="1:36" x14ac:dyDescent="0.3">
      <c r="A28" s="8" t="s">
        <v>36</v>
      </c>
      <c r="B28" s="9" t="s">
        <v>37</v>
      </c>
      <c r="C28" s="9" t="s">
        <v>38</v>
      </c>
      <c r="D28" s="10">
        <v>25.7</v>
      </c>
      <c r="E28" s="11">
        <v>261</v>
      </c>
      <c r="F28" s="11">
        <v>2032</v>
      </c>
      <c r="G28" s="11">
        <v>66.400000000000006</v>
      </c>
      <c r="H28" s="12">
        <v>3497</v>
      </c>
      <c r="I28" s="12">
        <v>-63.32</v>
      </c>
      <c r="J28" s="12">
        <v>-44.244999999999997</v>
      </c>
      <c r="K28" s="12">
        <v>705.63</v>
      </c>
      <c r="L28" s="12">
        <v>-1034.9000000000001</v>
      </c>
      <c r="M28" s="13">
        <v>418.1</v>
      </c>
      <c r="N28" s="12">
        <v>40.698999999999998</v>
      </c>
      <c r="O28" s="12">
        <v>42.497999999999998</v>
      </c>
      <c r="P28" s="12">
        <v>23.943999999999999</v>
      </c>
      <c r="Q28" s="12">
        <v>-64.594999999999999</v>
      </c>
      <c r="R28" s="12">
        <v>99.617999999999995</v>
      </c>
      <c r="S28" s="12">
        <v>-42.015999999999998</v>
      </c>
      <c r="T28" s="12">
        <v>124.23</v>
      </c>
      <c r="U28" s="12">
        <v>-275.95999999999998</v>
      </c>
      <c r="V28" s="12">
        <v>801.35</v>
      </c>
      <c r="W28" s="12">
        <v>-1121.7</v>
      </c>
      <c r="X28" s="13">
        <v>720.12</v>
      </c>
      <c r="Y28" s="12">
        <v>-166.88</v>
      </c>
      <c r="Z28" s="13">
        <v>95.379000000000005</v>
      </c>
      <c r="AA28" s="13">
        <v>-94.293999999999997</v>
      </c>
      <c r="AB28" s="13">
        <v>361.45</v>
      </c>
      <c r="AC28" s="13">
        <v>-611.59</v>
      </c>
      <c r="AD28" s="13">
        <v>493.84</v>
      </c>
      <c r="AE28" s="13">
        <v>-156.4</v>
      </c>
      <c r="AF28" s="14">
        <v>5.62</v>
      </c>
      <c r="AG28" s="14">
        <v>3495</v>
      </c>
      <c r="AH28" s="14">
        <v>950</v>
      </c>
      <c r="AI28" s="15" t="s">
        <v>39</v>
      </c>
      <c r="AJ28" s="16"/>
    </row>
    <row r="29" spans="1:36" x14ac:dyDescent="0.3">
      <c r="A29" s="8" t="s">
        <v>36</v>
      </c>
      <c r="B29" s="9" t="s">
        <v>37</v>
      </c>
      <c r="C29" s="9" t="s">
        <v>38</v>
      </c>
      <c r="D29" s="10">
        <v>25.7</v>
      </c>
      <c r="E29" s="11">
        <v>157</v>
      </c>
      <c r="F29" s="11">
        <v>2962</v>
      </c>
      <c r="G29" s="11">
        <v>30.7</v>
      </c>
      <c r="H29" s="12">
        <v>3497</v>
      </c>
      <c r="I29" s="12">
        <v>-63.32</v>
      </c>
      <c r="J29" s="12">
        <v>-44.244999999999997</v>
      </c>
      <c r="K29" s="12">
        <v>705.63</v>
      </c>
      <c r="L29" s="12">
        <v>-1034.9000000000001</v>
      </c>
      <c r="M29" s="13">
        <v>418.1</v>
      </c>
      <c r="N29" s="12">
        <v>40.698999999999998</v>
      </c>
      <c r="O29" s="12">
        <v>42.497999999999998</v>
      </c>
      <c r="P29" s="12">
        <v>23.943999999999999</v>
      </c>
      <c r="Q29" s="12">
        <v>-64.594999999999999</v>
      </c>
      <c r="R29" s="12">
        <v>99.617999999999995</v>
      </c>
      <c r="S29" s="12">
        <v>-42.015999999999998</v>
      </c>
      <c r="T29" s="12">
        <v>124.23</v>
      </c>
      <c r="U29" s="12">
        <v>-275.95999999999998</v>
      </c>
      <c r="V29" s="12">
        <v>801.35</v>
      </c>
      <c r="W29" s="12">
        <v>-1121.7</v>
      </c>
      <c r="X29" s="13">
        <v>720.12</v>
      </c>
      <c r="Y29" s="12">
        <v>-166.88</v>
      </c>
      <c r="Z29" s="13">
        <v>95.379000000000005</v>
      </c>
      <c r="AA29" s="13">
        <v>-94.293999999999997</v>
      </c>
      <c r="AB29" s="13">
        <v>361.45</v>
      </c>
      <c r="AC29" s="13">
        <v>-611.59</v>
      </c>
      <c r="AD29" s="13">
        <v>493.84</v>
      </c>
      <c r="AE29" s="13">
        <v>-156.4</v>
      </c>
      <c r="AF29" s="14">
        <v>5.62</v>
      </c>
      <c r="AG29" s="14">
        <v>3495</v>
      </c>
      <c r="AH29" s="14">
        <v>950</v>
      </c>
      <c r="AI29" s="15" t="s">
        <v>39</v>
      </c>
      <c r="AJ29" s="16"/>
    </row>
    <row r="30" spans="1:36" x14ac:dyDescent="0.3">
      <c r="A30" s="8" t="s">
        <v>36</v>
      </c>
      <c r="B30" s="9" t="s">
        <v>37</v>
      </c>
      <c r="C30" s="9" t="s">
        <v>38</v>
      </c>
      <c r="D30" s="10">
        <v>25.7</v>
      </c>
      <c r="E30" s="11">
        <v>287</v>
      </c>
      <c r="F30" s="11">
        <v>3255</v>
      </c>
      <c r="G30" s="11">
        <v>51.5</v>
      </c>
      <c r="H30" s="12">
        <v>3497</v>
      </c>
      <c r="I30" s="12">
        <v>-63.32</v>
      </c>
      <c r="J30" s="12">
        <v>-44.244999999999997</v>
      </c>
      <c r="K30" s="12">
        <v>705.63</v>
      </c>
      <c r="L30" s="12">
        <v>-1034.9000000000001</v>
      </c>
      <c r="M30" s="13">
        <v>418.1</v>
      </c>
      <c r="N30" s="12">
        <v>40.698999999999998</v>
      </c>
      <c r="O30" s="12">
        <v>42.497999999999998</v>
      </c>
      <c r="P30" s="12">
        <v>23.943999999999999</v>
      </c>
      <c r="Q30" s="12">
        <v>-64.594999999999999</v>
      </c>
      <c r="R30" s="12">
        <v>99.617999999999995</v>
      </c>
      <c r="S30" s="12">
        <v>-42.015999999999998</v>
      </c>
      <c r="T30" s="12">
        <v>124.23</v>
      </c>
      <c r="U30" s="12">
        <v>-275.95999999999998</v>
      </c>
      <c r="V30" s="12">
        <v>801.35</v>
      </c>
      <c r="W30" s="12">
        <v>-1121.7</v>
      </c>
      <c r="X30" s="13">
        <v>720.12</v>
      </c>
      <c r="Y30" s="12">
        <v>-166.88</v>
      </c>
      <c r="Z30" s="13">
        <v>95.379000000000005</v>
      </c>
      <c r="AA30" s="13">
        <v>-94.293999999999997</v>
      </c>
      <c r="AB30" s="13">
        <v>361.45</v>
      </c>
      <c r="AC30" s="13">
        <v>-611.59</v>
      </c>
      <c r="AD30" s="13">
        <v>493.84</v>
      </c>
      <c r="AE30" s="13">
        <v>-156.4</v>
      </c>
      <c r="AF30" s="14">
        <v>5.62</v>
      </c>
      <c r="AG30" s="14">
        <v>3495</v>
      </c>
      <c r="AH30" s="14">
        <v>950</v>
      </c>
      <c r="AI30" s="15" t="s">
        <v>39</v>
      </c>
      <c r="AJ30" s="16"/>
    </row>
    <row r="31" spans="1:36" x14ac:dyDescent="0.3">
      <c r="A31" s="8" t="s">
        <v>36</v>
      </c>
      <c r="B31" s="9" t="s">
        <v>37</v>
      </c>
      <c r="C31" s="17" t="s">
        <v>41</v>
      </c>
      <c r="D31" s="10">
        <v>25.7</v>
      </c>
      <c r="E31" s="11">
        <v>150</v>
      </c>
      <c r="F31" s="11">
        <v>3190</v>
      </c>
      <c r="G31" s="11">
        <v>29</v>
      </c>
      <c r="H31" s="12">
        <v>3497</v>
      </c>
      <c r="I31" s="12">
        <v>-63.32</v>
      </c>
      <c r="J31" s="12">
        <v>-44.244999999999997</v>
      </c>
      <c r="K31" s="12">
        <v>705.63</v>
      </c>
      <c r="L31" s="12">
        <v>-1034.9000000000001</v>
      </c>
      <c r="M31" s="13">
        <v>418.1</v>
      </c>
      <c r="N31" s="12">
        <v>40.698999999999998</v>
      </c>
      <c r="O31" s="12">
        <v>42.497999999999998</v>
      </c>
      <c r="P31" s="12">
        <v>23.943999999999999</v>
      </c>
      <c r="Q31" s="12">
        <v>-64.594999999999999</v>
      </c>
      <c r="R31" s="12">
        <v>99.617999999999995</v>
      </c>
      <c r="S31" s="12">
        <v>-42.015999999999998</v>
      </c>
      <c r="T31" s="12">
        <v>124.23</v>
      </c>
      <c r="U31" s="12">
        <v>-275.95999999999998</v>
      </c>
      <c r="V31" s="12">
        <v>801.35</v>
      </c>
      <c r="W31" s="12">
        <v>-1121.7</v>
      </c>
      <c r="X31" s="13">
        <v>720.12</v>
      </c>
      <c r="Y31" s="12">
        <v>-166.88</v>
      </c>
      <c r="Z31" s="13">
        <v>95.379000000000005</v>
      </c>
      <c r="AA31" s="13">
        <v>-94.293999999999997</v>
      </c>
      <c r="AB31" s="13">
        <v>361.45</v>
      </c>
      <c r="AC31" s="13">
        <v>-611.59</v>
      </c>
      <c r="AD31" s="13">
        <v>493.84</v>
      </c>
      <c r="AE31" s="13">
        <v>-156.4</v>
      </c>
      <c r="AF31" s="14">
        <v>5.62</v>
      </c>
      <c r="AG31" s="14">
        <v>3495</v>
      </c>
      <c r="AH31" s="14">
        <v>950</v>
      </c>
      <c r="AI31" s="15" t="s">
        <v>39</v>
      </c>
      <c r="AJ31" s="16"/>
    </row>
    <row r="32" spans="1:36" x14ac:dyDescent="0.3">
      <c r="A32" s="8" t="s">
        <v>36</v>
      </c>
      <c r="B32" s="17" t="s">
        <v>40</v>
      </c>
      <c r="C32" s="17" t="s">
        <v>42</v>
      </c>
      <c r="D32" s="10">
        <v>31</v>
      </c>
      <c r="E32" s="11">
        <v>240</v>
      </c>
      <c r="F32" s="11">
        <v>2854</v>
      </c>
      <c r="G32" s="11">
        <v>46</v>
      </c>
      <c r="H32" s="12">
        <v>3546.2272727272298</v>
      </c>
      <c r="I32" s="12">
        <v>236.12500000040501</v>
      </c>
      <c r="J32" s="12">
        <v>-1133.9233682997501</v>
      </c>
      <c r="K32" s="12">
        <v>1748.61596736811</v>
      </c>
      <c r="L32" s="12">
        <v>-1316.2878787894199</v>
      </c>
      <c r="M32" s="13">
        <v>368.58974359016202</v>
      </c>
      <c r="N32" s="12">
        <v>33.045454545453801</v>
      </c>
      <c r="O32" s="12">
        <v>58.639277389283698</v>
      </c>
      <c r="P32" s="12">
        <v>4.18123543121499</v>
      </c>
      <c r="Q32" s="12">
        <v>3.2051282051591401</v>
      </c>
      <c r="R32" s="12">
        <v>1.4568764568543</v>
      </c>
      <c r="S32" s="12">
        <v>6.0492590746374096E-12</v>
      </c>
      <c r="T32" s="12">
        <v>42.231818181816102</v>
      </c>
      <c r="U32" s="12">
        <v>-61.005944055924999</v>
      </c>
      <c r="V32" s="12">
        <v>624.51631701625797</v>
      </c>
      <c r="W32" s="12">
        <v>-1125.14568764561</v>
      </c>
      <c r="X32" s="13">
        <v>811.77156177151096</v>
      </c>
      <c r="Y32" s="12">
        <v>-211.53846153845001</v>
      </c>
      <c r="Z32" s="13">
        <v>6.66818181818204</v>
      </c>
      <c r="AA32" s="13">
        <v>174.41488927738601</v>
      </c>
      <c r="AB32" s="13">
        <v>88.814831002346907</v>
      </c>
      <c r="AC32" s="13">
        <v>-562.33245920749198</v>
      </c>
      <c r="AD32" s="13">
        <v>540.42832167835002</v>
      </c>
      <c r="AE32" s="13">
        <v>-165.06410256411201</v>
      </c>
      <c r="AF32" s="14">
        <v>4.5599999999999996</v>
      </c>
      <c r="AG32" s="14">
        <v>3500</v>
      </c>
      <c r="AH32" s="14">
        <v>450</v>
      </c>
      <c r="AI32" s="15" t="s">
        <v>39</v>
      </c>
      <c r="AJ32" s="16"/>
    </row>
    <row r="33" spans="1:36" x14ac:dyDescent="0.3">
      <c r="A33" s="8" t="s">
        <v>36</v>
      </c>
      <c r="B33" s="9" t="s">
        <v>37</v>
      </c>
      <c r="C33" s="9" t="s">
        <v>38</v>
      </c>
      <c r="D33" s="10">
        <v>34</v>
      </c>
      <c r="E33" s="11">
        <v>391</v>
      </c>
      <c r="F33" s="11">
        <v>3303</v>
      </c>
      <c r="G33" s="11">
        <v>66.400000000000006</v>
      </c>
      <c r="H33" s="12">
        <v>3497</v>
      </c>
      <c r="I33" s="12">
        <v>-63.32</v>
      </c>
      <c r="J33" s="12">
        <v>-44.244999999999997</v>
      </c>
      <c r="K33" s="12">
        <v>705.63</v>
      </c>
      <c r="L33" s="12">
        <v>-1034.9000000000001</v>
      </c>
      <c r="M33" s="13">
        <v>418.1</v>
      </c>
      <c r="N33" s="12">
        <v>40.698999999999998</v>
      </c>
      <c r="O33" s="12">
        <v>42.497999999999998</v>
      </c>
      <c r="P33" s="12">
        <v>23.943999999999999</v>
      </c>
      <c r="Q33" s="12">
        <v>-64.594999999999999</v>
      </c>
      <c r="R33" s="12">
        <v>99.617999999999995</v>
      </c>
      <c r="S33" s="12">
        <v>-42.015999999999998</v>
      </c>
      <c r="T33" s="12">
        <v>124.23</v>
      </c>
      <c r="U33" s="12">
        <v>-275.95999999999998</v>
      </c>
      <c r="V33" s="12">
        <v>801.35</v>
      </c>
      <c r="W33" s="12">
        <v>-1121.7</v>
      </c>
      <c r="X33" s="13">
        <v>720.12</v>
      </c>
      <c r="Y33" s="12">
        <v>-166.88</v>
      </c>
      <c r="Z33" s="13">
        <v>95.379000000000005</v>
      </c>
      <c r="AA33" s="13">
        <v>-94.293999999999997</v>
      </c>
      <c r="AB33" s="13">
        <v>361.45</v>
      </c>
      <c r="AC33" s="13">
        <v>-611.59</v>
      </c>
      <c r="AD33" s="13">
        <v>493.84</v>
      </c>
      <c r="AE33" s="13">
        <v>-156.4</v>
      </c>
      <c r="AF33" s="14">
        <v>5.62</v>
      </c>
      <c r="AG33" s="14">
        <v>3495</v>
      </c>
      <c r="AH33" s="14">
        <v>950</v>
      </c>
      <c r="AI33" s="15" t="s">
        <v>39</v>
      </c>
      <c r="AJ33" s="16"/>
    </row>
    <row r="34" spans="1:36" x14ac:dyDescent="0.3">
      <c r="A34" s="8" t="s">
        <v>36</v>
      </c>
      <c r="B34" s="9" t="s">
        <v>37</v>
      </c>
      <c r="C34" s="9" t="s">
        <v>42</v>
      </c>
      <c r="D34" s="10">
        <v>68</v>
      </c>
      <c r="E34" s="11">
        <v>626</v>
      </c>
      <c r="F34" s="11">
        <v>3018</v>
      </c>
      <c r="G34" s="11">
        <v>116.5</v>
      </c>
      <c r="H34" s="12">
        <v>3497</v>
      </c>
      <c r="I34" s="12">
        <v>-63.32</v>
      </c>
      <c r="J34" s="12">
        <v>-44.244999999999997</v>
      </c>
      <c r="K34" s="12">
        <v>705.63</v>
      </c>
      <c r="L34" s="12">
        <v>-1034.9000000000001</v>
      </c>
      <c r="M34" s="13">
        <v>418.1</v>
      </c>
      <c r="N34" s="12">
        <v>40.698999999999998</v>
      </c>
      <c r="O34" s="12">
        <v>42.497999999999998</v>
      </c>
      <c r="P34" s="12">
        <v>23.943999999999999</v>
      </c>
      <c r="Q34" s="12">
        <v>-64.594999999999999</v>
      </c>
      <c r="R34" s="12">
        <v>99.617999999999995</v>
      </c>
      <c r="S34" s="12">
        <v>-42.015999999999998</v>
      </c>
      <c r="T34" s="12">
        <v>124.23</v>
      </c>
      <c r="U34" s="12">
        <v>-275.95999999999998</v>
      </c>
      <c r="V34" s="12">
        <v>801.35</v>
      </c>
      <c r="W34" s="12">
        <v>-1121.7</v>
      </c>
      <c r="X34" s="13">
        <v>720.12</v>
      </c>
      <c r="Y34" s="12">
        <v>-166.88</v>
      </c>
      <c r="Z34" s="13">
        <v>95.379000000000005</v>
      </c>
      <c r="AA34" s="13">
        <v>-94.293999999999997</v>
      </c>
      <c r="AB34" s="13">
        <v>361.45</v>
      </c>
      <c r="AC34" s="13">
        <v>-611.59</v>
      </c>
      <c r="AD34" s="13">
        <v>493.84</v>
      </c>
      <c r="AE34" s="13">
        <v>-156.4</v>
      </c>
      <c r="AF34" s="14">
        <v>5.62</v>
      </c>
      <c r="AG34" s="14">
        <v>3495</v>
      </c>
      <c r="AH34" s="14">
        <v>950</v>
      </c>
      <c r="AI34" s="15" t="s">
        <v>39</v>
      </c>
      <c r="AJ34" s="16"/>
    </row>
    <row r="35" spans="1:36" x14ac:dyDescent="0.3">
      <c r="A35" s="8" t="s">
        <v>36</v>
      </c>
      <c r="B35" s="9" t="s">
        <v>37</v>
      </c>
      <c r="C35" s="9" t="s">
        <v>38</v>
      </c>
      <c r="D35" s="10">
        <v>68</v>
      </c>
      <c r="E35" s="11">
        <v>783</v>
      </c>
      <c r="F35" s="11">
        <v>3454</v>
      </c>
      <c r="G35" s="11">
        <v>132.80000000000001</v>
      </c>
      <c r="H35" s="12">
        <v>3497</v>
      </c>
      <c r="I35" s="12">
        <v>-63.32</v>
      </c>
      <c r="J35" s="12">
        <v>-44.244999999999997</v>
      </c>
      <c r="K35" s="12">
        <v>705.63</v>
      </c>
      <c r="L35" s="12">
        <v>-1034.9000000000001</v>
      </c>
      <c r="M35" s="13">
        <v>418.1</v>
      </c>
      <c r="N35" s="12">
        <v>40.698999999999998</v>
      </c>
      <c r="O35" s="12">
        <v>42.497999999999998</v>
      </c>
      <c r="P35" s="12">
        <v>23.943999999999999</v>
      </c>
      <c r="Q35" s="12">
        <v>-64.594999999999999</v>
      </c>
      <c r="R35" s="12">
        <v>99.617999999999995</v>
      </c>
      <c r="S35" s="12">
        <v>-42.015999999999998</v>
      </c>
      <c r="T35" s="12">
        <v>124.23</v>
      </c>
      <c r="U35" s="12">
        <v>-275.95999999999998</v>
      </c>
      <c r="V35" s="12">
        <v>801.35</v>
      </c>
      <c r="W35" s="12">
        <v>-1121.7</v>
      </c>
      <c r="X35" s="13">
        <v>720.12</v>
      </c>
      <c r="Y35" s="12">
        <v>-166.88</v>
      </c>
      <c r="Z35" s="13">
        <v>95.379000000000005</v>
      </c>
      <c r="AA35" s="13">
        <v>-94.293999999999997</v>
      </c>
      <c r="AB35" s="13">
        <v>361.45</v>
      </c>
      <c r="AC35" s="13">
        <v>-611.59</v>
      </c>
      <c r="AD35" s="13">
        <v>493.84</v>
      </c>
      <c r="AE35" s="13">
        <v>-156.4</v>
      </c>
      <c r="AF35" s="14">
        <v>5.62</v>
      </c>
      <c r="AG35" s="14">
        <v>3495</v>
      </c>
      <c r="AH35" s="14">
        <v>950</v>
      </c>
      <c r="AI35" s="15" t="s">
        <v>39</v>
      </c>
      <c r="AJ35" s="16"/>
    </row>
    <row r="36" spans="1:36" x14ac:dyDescent="0.3">
      <c r="A36" s="8" t="s">
        <v>36</v>
      </c>
      <c r="B36" s="9" t="s">
        <v>37</v>
      </c>
      <c r="C36" s="9" t="s">
        <v>38</v>
      </c>
      <c r="D36" s="10">
        <v>68</v>
      </c>
      <c r="E36" s="11">
        <v>522</v>
      </c>
      <c r="F36" s="11">
        <v>3062</v>
      </c>
      <c r="G36" s="11">
        <v>92.6</v>
      </c>
      <c r="H36" s="12">
        <v>3497</v>
      </c>
      <c r="I36" s="12">
        <v>-63.32</v>
      </c>
      <c r="J36" s="12">
        <v>-44.244999999999997</v>
      </c>
      <c r="K36" s="12">
        <v>705.63</v>
      </c>
      <c r="L36" s="12">
        <v>-1034.9000000000001</v>
      </c>
      <c r="M36" s="13">
        <v>418.1</v>
      </c>
      <c r="N36" s="12">
        <v>40.698999999999998</v>
      </c>
      <c r="O36" s="12">
        <v>42.497999999999998</v>
      </c>
      <c r="P36" s="12">
        <v>23.943999999999999</v>
      </c>
      <c r="Q36" s="12">
        <v>-64.594999999999999</v>
      </c>
      <c r="R36" s="12">
        <v>99.617999999999995</v>
      </c>
      <c r="S36" s="12">
        <v>-42.015999999999998</v>
      </c>
      <c r="T36" s="12">
        <v>124.23</v>
      </c>
      <c r="U36" s="12">
        <v>-275.95999999999998</v>
      </c>
      <c r="V36" s="12">
        <v>801.35</v>
      </c>
      <c r="W36" s="12">
        <v>-1121.7</v>
      </c>
      <c r="X36" s="13">
        <v>720.12</v>
      </c>
      <c r="Y36" s="12">
        <v>-166.88</v>
      </c>
      <c r="Z36" s="13">
        <v>95.379000000000005</v>
      </c>
      <c r="AA36" s="13">
        <v>-94.293999999999997</v>
      </c>
      <c r="AB36" s="13">
        <v>361.45</v>
      </c>
      <c r="AC36" s="13">
        <v>-611.59</v>
      </c>
      <c r="AD36" s="13">
        <v>493.84</v>
      </c>
      <c r="AE36" s="13">
        <v>-156.4</v>
      </c>
      <c r="AF36" s="14">
        <v>5.62</v>
      </c>
      <c r="AG36" s="14">
        <v>3495</v>
      </c>
      <c r="AH36" s="14">
        <v>950</v>
      </c>
      <c r="AI36" s="15" t="s">
        <v>39</v>
      </c>
      <c r="AJ36" s="16"/>
    </row>
    <row r="37" spans="1:36" x14ac:dyDescent="0.3">
      <c r="A37" s="8" t="s">
        <v>36</v>
      </c>
      <c r="B37" s="9" t="s">
        <v>37</v>
      </c>
      <c r="C37" s="9" t="s">
        <v>38</v>
      </c>
      <c r="D37" s="10">
        <v>68</v>
      </c>
      <c r="E37" s="11">
        <v>313</v>
      </c>
      <c r="F37" s="11">
        <v>3093</v>
      </c>
      <c r="G37" s="11">
        <v>57.8</v>
      </c>
      <c r="H37" s="12">
        <v>3497</v>
      </c>
      <c r="I37" s="12">
        <v>-63.32</v>
      </c>
      <c r="J37" s="12">
        <v>-44.244999999999997</v>
      </c>
      <c r="K37" s="12">
        <v>705.63</v>
      </c>
      <c r="L37" s="12">
        <v>-1034.9000000000001</v>
      </c>
      <c r="M37" s="13">
        <v>418.1</v>
      </c>
      <c r="N37" s="12">
        <v>40.698999999999998</v>
      </c>
      <c r="O37" s="12">
        <v>42.497999999999998</v>
      </c>
      <c r="P37" s="12">
        <v>23.943999999999999</v>
      </c>
      <c r="Q37" s="12">
        <v>-64.594999999999999</v>
      </c>
      <c r="R37" s="12">
        <v>99.617999999999995</v>
      </c>
      <c r="S37" s="12">
        <v>-42.015999999999998</v>
      </c>
      <c r="T37" s="12">
        <v>124.23</v>
      </c>
      <c r="U37" s="12">
        <v>-275.95999999999998</v>
      </c>
      <c r="V37" s="12">
        <v>801.35</v>
      </c>
      <c r="W37" s="12">
        <v>-1121.7</v>
      </c>
      <c r="X37" s="13">
        <v>720.12</v>
      </c>
      <c r="Y37" s="12">
        <v>-166.88</v>
      </c>
      <c r="Z37" s="13">
        <v>95.379000000000005</v>
      </c>
      <c r="AA37" s="13">
        <v>-94.293999999999997</v>
      </c>
      <c r="AB37" s="13">
        <v>361.45</v>
      </c>
      <c r="AC37" s="13">
        <v>-611.59</v>
      </c>
      <c r="AD37" s="13">
        <v>493.84</v>
      </c>
      <c r="AE37" s="13">
        <v>-156.4</v>
      </c>
      <c r="AF37" s="14">
        <v>5.62</v>
      </c>
      <c r="AG37" s="14">
        <v>3495</v>
      </c>
      <c r="AH37" s="14">
        <v>950</v>
      </c>
      <c r="AI37" s="15" t="s">
        <v>39</v>
      </c>
      <c r="AJ37" s="16"/>
    </row>
    <row r="38" spans="1:36" x14ac:dyDescent="0.3">
      <c r="A38" s="8" t="s">
        <v>36</v>
      </c>
      <c r="B38" s="9" t="s">
        <v>37</v>
      </c>
      <c r="C38" s="9" t="s">
        <v>38</v>
      </c>
      <c r="D38" s="10">
        <v>68</v>
      </c>
      <c r="E38" s="11">
        <v>365</v>
      </c>
      <c r="F38" s="11">
        <v>3156</v>
      </c>
      <c r="G38" s="11">
        <v>66.400000000000006</v>
      </c>
      <c r="H38" s="12">
        <v>3497</v>
      </c>
      <c r="I38" s="12">
        <v>-63.32</v>
      </c>
      <c r="J38" s="12">
        <v>-44.244999999999997</v>
      </c>
      <c r="K38" s="12">
        <v>705.63</v>
      </c>
      <c r="L38" s="12">
        <v>-1034.9000000000001</v>
      </c>
      <c r="M38" s="13">
        <v>418.1</v>
      </c>
      <c r="N38" s="12">
        <v>40.698999999999998</v>
      </c>
      <c r="O38" s="12">
        <v>42.497999999999998</v>
      </c>
      <c r="P38" s="12">
        <v>23.943999999999999</v>
      </c>
      <c r="Q38" s="12">
        <v>-64.594999999999999</v>
      </c>
      <c r="R38" s="12">
        <v>99.617999999999995</v>
      </c>
      <c r="S38" s="12">
        <v>-42.015999999999998</v>
      </c>
      <c r="T38" s="12">
        <v>124.23</v>
      </c>
      <c r="U38" s="12">
        <v>-275.95999999999998</v>
      </c>
      <c r="V38" s="12">
        <v>801.35</v>
      </c>
      <c r="W38" s="12">
        <v>-1121.7</v>
      </c>
      <c r="X38" s="13">
        <v>720.12</v>
      </c>
      <c r="Y38" s="12">
        <v>-166.88</v>
      </c>
      <c r="Z38" s="13">
        <v>95.379000000000005</v>
      </c>
      <c r="AA38" s="13">
        <v>-94.293999999999997</v>
      </c>
      <c r="AB38" s="13">
        <v>361.45</v>
      </c>
      <c r="AC38" s="13">
        <v>-611.59</v>
      </c>
      <c r="AD38" s="13">
        <v>493.84</v>
      </c>
      <c r="AE38" s="13">
        <v>-156.4</v>
      </c>
      <c r="AF38" s="14">
        <v>5.62</v>
      </c>
      <c r="AG38" s="14">
        <v>3495</v>
      </c>
      <c r="AH38" s="14">
        <v>950</v>
      </c>
      <c r="AI38" s="15" t="s">
        <v>39</v>
      </c>
      <c r="AJ38" s="16"/>
    </row>
    <row r="39" spans="1:36" x14ac:dyDescent="0.3">
      <c r="A39" s="8" t="s">
        <v>36</v>
      </c>
      <c r="B39" s="9" t="s">
        <v>37</v>
      </c>
      <c r="C39" s="9" t="s">
        <v>38</v>
      </c>
      <c r="D39" s="10">
        <v>68</v>
      </c>
      <c r="E39" s="11">
        <v>183</v>
      </c>
      <c r="F39" s="11">
        <v>3384</v>
      </c>
      <c r="G39" s="11">
        <v>30.7</v>
      </c>
      <c r="H39" s="12">
        <v>3497</v>
      </c>
      <c r="I39" s="12">
        <v>-63.32</v>
      </c>
      <c r="J39" s="12">
        <v>-44.244999999999997</v>
      </c>
      <c r="K39" s="12">
        <v>705.63</v>
      </c>
      <c r="L39" s="12">
        <v>-1034.9000000000001</v>
      </c>
      <c r="M39" s="13">
        <v>418.1</v>
      </c>
      <c r="N39" s="12">
        <v>40.698999999999998</v>
      </c>
      <c r="O39" s="12">
        <v>42.497999999999998</v>
      </c>
      <c r="P39" s="12">
        <v>23.943999999999999</v>
      </c>
      <c r="Q39" s="12">
        <v>-64.594999999999999</v>
      </c>
      <c r="R39" s="12">
        <v>99.617999999999995</v>
      </c>
      <c r="S39" s="12">
        <v>-42.015999999999998</v>
      </c>
      <c r="T39" s="12">
        <v>124.23</v>
      </c>
      <c r="U39" s="12">
        <v>-275.95999999999998</v>
      </c>
      <c r="V39" s="12">
        <v>801.35</v>
      </c>
      <c r="W39" s="12">
        <v>-1121.7</v>
      </c>
      <c r="X39" s="13">
        <v>720.12</v>
      </c>
      <c r="Y39" s="12">
        <v>-166.88</v>
      </c>
      <c r="Z39" s="13">
        <v>95.379000000000005</v>
      </c>
      <c r="AA39" s="13">
        <v>-94.293999999999997</v>
      </c>
      <c r="AB39" s="13">
        <v>361.45</v>
      </c>
      <c r="AC39" s="13">
        <v>-611.59</v>
      </c>
      <c r="AD39" s="13">
        <v>493.84</v>
      </c>
      <c r="AE39" s="13">
        <v>-156.4</v>
      </c>
      <c r="AF39" s="14">
        <v>5.62</v>
      </c>
      <c r="AG39" s="14">
        <v>3495</v>
      </c>
      <c r="AH39" s="14">
        <v>950</v>
      </c>
      <c r="AI39" s="15" t="s">
        <v>39</v>
      </c>
      <c r="AJ39" s="16"/>
    </row>
    <row r="40" spans="1:36" x14ac:dyDescent="0.3">
      <c r="A40" s="8" t="s">
        <v>36</v>
      </c>
      <c r="B40" s="9" t="s">
        <v>37</v>
      </c>
      <c r="C40" s="9" t="s">
        <v>38</v>
      </c>
      <c r="D40" s="10">
        <v>68</v>
      </c>
      <c r="E40" s="11">
        <v>450</v>
      </c>
      <c r="F40" s="11">
        <v>3032</v>
      </c>
      <c r="G40" s="11">
        <v>86.7</v>
      </c>
      <c r="H40" s="12">
        <v>3497</v>
      </c>
      <c r="I40" s="12">
        <v>-63.32</v>
      </c>
      <c r="J40" s="12">
        <v>-44.244999999999997</v>
      </c>
      <c r="K40" s="12">
        <v>705.63</v>
      </c>
      <c r="L40" s="12">
        <v>-1034.9000000000001</v>
      </c>
      <c r="M40" s="13">
        <v>418.1</v>
      </c>
      <c r="N40" s="12">
        <v>40.698999999999998</v>
      </c>
      <c r="O40" s="12">
        <v>42.497999999999998</v>
      </c>
      <c r="P40" s="12">
        <v>23.943999999999999</v>
      </c>
      <c r="Q40" s="12">
        <v>-64.594999999999999</v>
      </c>
      <c r="R40" s="12">
        <v>99.617999999999995</v>
      </c>
      <c r="S40" s="12">
        <v>-42.015999999999998</v>
      </c>
      <c r="T40" s="12">
        <v>124.23</v>
      </c>
      <c r="U40" s="12">
        <v>-275.95999999999998</v>
      </c>
      <c r="V40" s="12">
        <v>801.35</v>
      </c>
      <c r="W40" s="12">
        <v>-1121.7</v>
      </c>
      <c r="X40" s="13">
        <v>720.12</v>
      </c>
      <c r="Y40" s="12">
        <v>-166.88</v>
      </c>
      <c r="Z40" s="13">
        <v>95.379000000000005</v>
      </c>
      <c r="AA40" s="13">
        <v>-94.293999999999997</v>
      </c>
      <c r="AB40" s="13">
        <v>361.45</v>
      </c>
      <c r="AC40" s="13">
        <v>-611.59</v>
      </c>
      <c r="AD40" s="13">
        <v>493.84</v>
      </c>
      <c r="AE40" s="13">
        <v>-156.4</v>
      </c>
      <c r="AF40" s="14">
        <v>5.62</v>
      </c>
      <c r="AG40" s="14">
        <v>3495</v>
      </c>
      <c r="AH40" s="14">
        <v>950</v>
      </c>
      <c r="AI40" s="15" t="s">
        <v>39</v>
      </c>
      <c r="AJ40" s="16"/>
    </row>
    <row r="41" spans="1:36" x14ac:dyDescent="0.3">
      <c r="A41" s="8" t="s">
        <v>36</v>
      </c>
      <c r="B41" s="9" t="s">
        <v>37</v>
      </c>
      <c r="C41" s="8" t="s">
        <v>38</v>
      </c>
      <c r="D41" s="10">
        <v>25.7</v>
      </c>
      <c r="E41" s="11">
        <v>157</v>
      </c>
      <c r="F41" s="11">
        <v>3032</v>
      </c>
      <c r="G41" s="11">
        <v>30.7</v>
      </c>
      <c r="H41" s="18">
        <v>3497</v>
      </c>
      <c r="I41" s="19">
        <v>-63.32</v>
      </c>
      <c r="J41" s="19">
        <v>-44.244999999999997</v>
      </c>
      <c r="K41" s="19">
        <v>705.63</v>
      </c>
      <c r="L41" s="19">
        <v>-1034.9000000000001</v>
      </c>
      <c r="M41" s="19">
        <v>418.1</v>
      </c>
      <c r="N41" s="20">
        <v>40.698999999999998</v>
      </c>
      <c r="O41" s="19">
        <v>42.497999999999998</v>
      </c>
      <c r="P41" s="19">
        <v>23.943999999999999</v>
      </c>
      <c r="Q41" s="19">
        <v>-64.594999999999999</v>
      </c>
      <c r="R41" s="19">
        <v>99.617999999999995</v>
      </c>
      <c r="S41" s="21">
        <v>-42.015999999999998</v>
      </c>
      <c r="T41" s="19">
        <v>124.23</v>
      </c>
      <c r="U41" s="19">
        <v>-275.95999999999998</v>
      </c>
      <c r="V41" s="19">
        <v>801.35</v>
      </c>
      <c r="W41" s="19">
        <v>-1121.7</v>
      </c>
      <c r="X41" s="19">
        <v>720.12</v>
      </c>
      <c r="Y41" s="19">
        <v>-166.88</v>
      </c>
      <c r="Z41" s="19">
        <v>95.379000000000005</v>
      </c>
      <c r="AA41" s="19">
        <v>-94.293999999999997</v>
      </c>
      <c r="AB41" s="19">
        <v>361.45</v>
      </c>
      <c r="AC41" s="19">
        <v>-611.59</v>
      </c>
      <c r="AD41" s="19">
        <v>493.84</v>
      </c>
      <c r="AE41" s="21">
        <v>-156.4</v>
      </c>
      <c r="AF41" s="14">
        <v>5.62</v>
      </c>
      <c r="AG41" s="14">
        <v>3495</v>
      </c>
      <c r="AH41" s="14">
        <v>950</v>
      </c>
      <c r="AI41" s="15" t="s">
        <v>39</v>
      </c>
      <c r="AJ41" s="16"/>
    </row>
    <row r="42" spans="1:36" x14ac:dyDescent="0.3">
      <c r="A42" s="8" t="s">
        <v>36</v>
      </c>
      <c r="B42" s="9" t="s">
        <v>37</v>
      </c>
      <c r="C42" s="9" t="s">
        <v>38</v>
      </c>
      <c r="D42" s="10">
        <v>25.7</v>
      </c>
      <c r="E42" s="11">
        <v>261</v>
      </c>
      <c r="F42" s="11">
        <v>2303</v>
      </c>
      <c r="G42" s="11">
        <v>66.400000000000006</v>
      </c>
      <c r="H42" s="12">
        <v>3497</v>
      </c>
      <c r="I42" s="12">
        <v>-63.32</v>
      </c>
      <c r="J42" s="12">
        <v>-44.244999999999997</v>
      </c>
      <c r="K42" s="12">
        <v>705.63</v>
      </c>
      <c r="L42" s="12">
        <v>-1034.9000000000001</v>
      </c>
      <c r="M42" s="13">
        <v>418.1</v>
      </c>
      <c r="N42" s="12">
        <v>40.698999999999998</v>
      </c>
      <c r="O42" s="12">
        <v>42.497999999999998</v>
      </c>
      <c r="P42" s="12">
        <v>23.943999999999999</v>
      </c>
      <c r="Q42" s="12">
        <v>-64.594999999999999</v>
      </c>
      <c r="R42" s="12">
        <v>99.617999999999995</v>
      </c>
      <c r="S42" s="12">
        <v>-42.015999999999998</v>
      </c>
      <c r="T42" s="12">
        <v>124.23</v>
      </c>
      <c r="U42" s="12">
        <v>-275.95999999999998</v>
      </c>
      <c r="V42" s="12">
        <v>801.35</v>
      </c>
      <c r="W42" s="12">
        <v>-1121.7</v>
      </c>
      <c r="X42" s="13">
        <v>720.12</v>
      </c>
      <c r="Y42" s="12">
        <v>-166.88</v>
      </c>
      <c r="Z42" s="13">
        <v>95.379000000000005</v>
      </c>
      <c r="AA42" s="13">
        <v>-94.293999999999997</v>
      </c>
      <c r="AB42" s="13">
        <v>361.45</v>
      </c>
      <c r="AC42" s="13">
        <v>-611.59</v>
      </c>
      <c r="AD42" s="13">
        <v>493.84</v>
      </c>
      <c r="AE42" s="13">
        <v>-156.4</v>
      </c>
      <c r="AF42" s="14">
        <v>5.62</v>
      </c>
      <c r="AG42" s="14">
        <v>3495</v>
      </c>
      <c r="AH42" s="14">
        <v>950</v>
      </c>
      <c r="AI42" s="15" t="s">
        <v>39</v>
      </c>
      <c r="AJ42" s="16"/>
    </row>
    <row r="43" spans="1:36" x14ac:dyDescent="0.3">
      <c r="A43" s="8" t="s">
        <v>36</v>
      </c>
      <c r="B43" s="9" t="s">
        <v>37</v>
      </c>
      <c r="C43" s="9" t="s">
        <v>38</v>
      </c>
      <c r="D43" s="10">
        <v>25.7</v>
      </c>
      <c r="E43" s="11">
        <v>287</v>
      </c>
      <c r="F43" s="11">
        <v>3112</v>
      </c>
      <c r="G43" s="11">
        <v>51.5</v>
      </c>
      <c r="H43" s="12">
        <v>3497</v>
      </c>
      <c r="I43" s="12">
        <v>-63.32</v>
      </c>
      <c r="J43" s="12">
        <v>-44.244999999999997</v>
      </c>
      <c r="K43" s="12">
        <v>705.63</v>
      </c>
      <c r="L43" s="12">
        <v>-1034.9000000000001</v>
      </c>
      <c r="M43" s="13">
        <v>418.1</v>
      </c>
      <c r="N43" s="12">
        <v>40.698999999999998</v>
      </c>
      <c r="O43" s="12">
        <v>42.497999999999998</v>
      </c>
      <c r="P43" s="12">
        <v>23.943999999999999</v>
      </c>
      <c r="Q43" s="12">
        <v>-64.594999999999999</v>
      </c>
      <c r="R43" s="12">
        <v>99.617999999999995</v>
      </c>
      <c r="S43" s="12">
        <v>-42.015999999999998</v>
      </c>
      <c r="T43" s="12">
        <v>124.23</v>
      </c>
      <c r="U43" s="12">
        <v>-275.95999999999998</v>
      </c>
      <c r="V43" s="12">
        <v>801.35</v>
      </c>
      <c r="W43" s="12">
        <v>-1121.7</v>
      </c>
      <c r="X43" s="13">
        <v>720.12</v>
      </c>
      <c r="Y43" s="12">
        <v>-166.88</v>
      </c>
      <c r="Z43" s="13">
        <v>95.379000000000005</v>
      </c>
      <c r="AA43" s="13">
        <v>-94.293999999999997</v>
      </c>
      <c r="AB43" s="13">
        <v>361.45</v>
      </c>
      <c r="AC43" s="13">
        <v>-611.59</v>
      </c>
      <c r="AD43" s="13">
        <v>493.84</v>
      </c>
      <c r="AE43" s="13">
        <v>-156.4</v>
      </c>
      <c r="AF43" s="14">
        <v>5.62</v>
      </c>
      <c r="AG43" s="14">
        <v>3495</v>
      </c>
      <c r="AH43" s="14">
        <v>950</v>
      </c>
      <c r="AI43" s="15" t="s">
        <v>39</v>
      </c>
      <c r="AJ43" s="16"/>
    </row>
    <row r="44" spans="1:36" x14ac:dyDescent="0.3">
      <c r="A44" s="8" t="s">
        <v>36</v>
      </c>
      <c r="B44" s="9" t="s">
        <v>37</v>
      </c>
      <c r="C44" s="17" t="s">
        <v>43</v>
      </c>
      <c r="D44" s="10">
        <v>68</v>
      </c>
      <c r="E44" s="11">
        <v>574</v>
      </c>
      <c r="F44" s="11">
        <v>3001</v>
      </c>
      <c r="G44" s="11">
        <v>92.596774922083213</v>
      </c>
      <c r="H44" s="12">
        <v>3497</v>
      </c>
      <c r="I44" s="12">
        <v>-63.32</v>
      </c>
      <c r="J44" s="12">
        <v>-44.244999999999997</v>
      </c>
      <c r="K44" s="12">
        <v>705.63</v>
      </c>
      <c r="L44" s="12">
        <v>-1034.9000000000001</v>
      </c>
      <c r="M44" s="13">
        <v>418.1</v>
      </c>
      <c r="N44" s="12">
        <v>40.698999999999998</v>
      </c>
      <c r="O44" s="12">
        <v>42.497999999999998</v>
      </c>
      <c r="P44" s="12">
        <v>23.943999999999999</v>
      </c>
      <c r="Q44" s="12">
        <v>-64.594999999999999</v>
      </c>
      <c r="R44" s="12">
        <v>99.617999999999995</v>
      </c>
      <c r="S44" s="12">
        <v>-42.015999999999998</v>
      </c>
      <c r="T44" s="12">
        <v>124.23</v>
      </c>
      <c r="U44" s="12">
        <v>-275.95999999999998</v>
      </c>
      <c r="V44" s="12">
        <v>801.35</v>
      </c>
      <c r="W44" s="12">
        <v>-1121.7</v>
      </c>
      <c r="X44" s="13">
        <v>720.12</v>
      </c>
      <c r="Y44" s="12">
        <v>-166.88</v>
      </c>
      <c r="Z44" s="13">
        <v>95.379000000000005</v>
      </c>
      <c r="AA44" s="13">
        <v>-94.293999999999997</v>
      </c>
      <c r="AB44" s="13">
        <v>361.45</v>
      </c>
      <c r="AC44" s="13">
        <v>-611.59</v>
      </c>
      <c r="AD44" s="13">
        <v>493.84</v>
      </c>
      <c r="AE44" s="13">
        <v>-156.4</v>
      </c>
      <c r="AF44" s="14">
        <v>5.62</v>
      </c>
      <c r="AG44" s="14">
        <v>3495</v>
      </c>
      <c r="AH44" s="14">
        <v>950</v>
      </c>
      <c r="AI44" s="15" t="s">
        <v>39</v>
      </c>
      <c r="AJ44" s="16"/>
    </row>
    <row r="45" spans="1:36" x14ac:dyDescent="0.3">
      <c r="A45" s="8" t="s">
        <v>36</v>
      </c>
      <c r="B45" s="9" t="s">
        <v>37</v>
      </c>
      <c r="C45" s="17" t="s">
        <v>43</v>
      </c>
      <c r="D45" s="10">
        <v>68</v>
      </c>
      <c r="E45" s="11">
        <v>730</v>
      </c>
      <c r="F45" s="11">
        <v>3497</v>
      </c>
      <c r="G45" s="11">
        <v>116.1</v>
      </c>
      <c r="H45" s="12">
        <v>3497</v>
      </c>
      <c r="I45" s="12">
        <v>-63.32</v>
      </c>
      <c r="J45" s="12">
        <v>-44.244999999999997</v>
      </c>
      <c r="K45" s="12">
        <v>705.63</v>
      </c>
      <c r="L45" s="12">
        <v>-1034.9000000000001</v>
      </c>
      <c r="M45" s="13">
        <v>418.1</v>
      </c>
      <c r="N45" s="12">
        <v>40.698999999999998</v>
      </c>
      <c r="O45" s="12">
        <v>42.497999999999998</v>
      </c>
      <c r="P45" s="12">
        <v>23.943999999999999</v>
      </c>
      <c r="Q45" s="12">
        <v>-64.594999999999999</v>
      </c>
      <c r="R45" s="12">
        <v>99.617999999999995</v>
      </c>
      <c r="S45" s="12">
        <v>-42.015999999999998</v>
      </c>
      <c r="T45" s="12">
        <v>124.23</v>
      </c>
      <c r="U45" s="12">
        <v>-275.95999999999998</v>
      </c>
      <c r="V45" s="12">
        <v>801.35</v>
      </c>
      <c r="W45" s="12">
        <v>-1121.7</v>
      </c>
      <c r="X45" s="13">
        <v>720.12</v>
      </c>
      <c r="Y45" s="12">
        <v>-166.88</v>
      </c>
      <c r="Z45" s="13">
        <v>95.379000000000005</v>
      </c>
      <c r="AA45" s="13">
        <v>-94.293999999999997</v>
      </c>
      <c r="AB45" s="13">
        <v>361.45</v>
      </c>
      <c r="AC45" s="13">
        <v>-611.59</v>
      </c>
      <c r="AD45" s="13">
        <v>493.84</v>
      </c>
      <c r="AE45" s="13">
        <v>-156.4</v>
      </c>
      <c r="AF45" s="14">
        <v>5.62</v>
      </c>
      <c r="AG45" s="14">
        <v>3495</v>
      </c>
      <c r="AH45" s="14">
        <v>950</v>
      </c>
      <c r="AI45" s="15" t="s">
        <v>39</v>
      </c>
      <c r="AJ45" s="16"/>
    </row>
    <row r="46" spans="1:36" x14ac:dyDescent="0.3">
      <c r="A46" s="8" t="s">
        <v>36</v>
      </c>
      <c r="B46" s="9" t="s">
        <v>37</v>
      </c>
      <c r="C46" s="17" t="s">
        <v>43</v>
      </c>
      <c r="D46" s="10">
        <v>68</v>
      </c>
      <c r="E46" s="11">
        <v>470</v>
      </c>
      <c r="F46" s="11">
        <v>3342</v>
      </c>
      <c r="G46" s="11">
        <v>78.099999999999994</v>
      </c>
      <c r="H46" s="12">
        <v>3497</v>
      </c>
      <c r="I46" s="12">
        <v>-63.32</v>
      </c>
      <c r="J46" s="12">
        <v>-44.244999999999997</v>
      </c>
      <c r="K46" s="12">
        <v>705.63</v>
      </c>
      <c r="L46" s="12">
        <v>-1034.9000000000001</v>
      </c>
      <c r="M46" s="13">
        <v>418.1</v>
      </c>
      <c r="N46" s="12">
        <v>40.698999999999998</v>
      </c>
      <c r="O46" s="12">
        <v>42.497999999999998</v>
      </c>
      <c r="P46" s="12">
        <v>23.943999999999999</v>
      </c>
      <c r="Q46" s="12">
        <v>-64.594999999999999</v>
      </c>
      <c r="R46" s="12">
        <v>99.617999999999995</v>
      </c>
      <c r="S46" s="12">
        <v>-42.015999999999998</v>
      </c>
      <c r="T46" s="12">
        <v>124.23</v>
      </c>
      <c r="U46" s="12">
        <v>-275.95999999999998</v>
      </c>
      <c r="V46" s="12">
        <v>801.35</v>
      </c>
      <c r="W46" s="12">
        <v>-1121.7</v>
      </c>
      <c r="X46" s="13">
        <v>720.12</v>
      </c>
      <c r="Y46" s="12">
        <v>-166.88</v>
      </c>
      <c r="Z46" s="13">
        <v>95.379000000000005</v>
      </c>
      <c r="AA46" s="13">
        <v>-94.293999999999997</v>
      </c>
      <c r="AB46" s="13">
        <v>361.45</v>
      </c>
      <c r="AC46" s="13">
        <v>-611.59</v>
      </c>
      <c r="AD46" s="13">
        <v>493.84</v>
      </c>
      <c r="AE46" s="13">
        <v>-156.4</v>
      </c>
      <c r="AF46" s="14">
        <v>5.62</v>
      </c>
      <c r="AG46" s="14">
        <v>3495</v>
      </c>
      <c r="AH46" s="14">
        <v>950</v>
      </c>
      <c r="AI46" s="15" t="s">
        <v>39</v>
      </c>
      <c r="AJ46" s="16"/>
    </row>
    <row r="47" spans="1:36" x14ac:dyDescent="0.3">
      <c r="A47" s="8" t="s">
        <v>36</v>
      </c>
      <c r="B47" s="9" t="s">
        <v>37</v>
      </c>
      <c r="C47" s="17" t="s">
        <v>38</v>
      </c>
      <c r="D47" s="10">
        <v>68</v>
      </c>
      <c r="E47" s="11">
        <v>183</v>
      </c>
      <c r="F47" s="11">
        <v>3303</v>
      </c>
      <c r="G47" s="11">
        <v>30.7</v>
      </c>
      <c r="H47" s="12">
        <v>3497</v>
      </c>
      <c r="I47" s="12">
        <v>-63.32</v>
      </c>
      <c r="J47" s="12">
        <v>-44.244999999999997</v>
      </c>
      <c r="K47" s="12">
        <v>705.63</v>
      </c>
      <c r="L47" s="12">
        <v>-1034.9000000000001</v>
      </c>
      <c r="M47" s="13">
        <v>418.1</v>
      </c>
      <c r="N47" s="12">
        <v>40.698999999999998</v>
      </c>
      <c r="O47" s="12">
        <v>42.497999999999998</v>
      </c>
      <c r="P47" s="12">
        <v>23.943999999999999</v>
      </c>
      <c r="Q47" s="12">
        <v>-64.594999999999999</v>
      </c>
      <c r="R47" s="12">
        <v>99.617999999999995</v>
      </c>
      <c r="S47" s="12">
        <v>-42.015999999999998</v>
      </c>
      <c r="T47" s="12">
        <v>124.23</v>
      </c>
      <c r="U47" s="12">
        <v>-275.95999999999998</v>
      </c>
      <c r="V47" s="12">
        <v>801.35</v>
      </c>
      <c r="W47" s="12">
        <v>-1121.7</v>
      </c>
      <c r="X47" s="13">
        <v>720.12</v>
      </c>
      <c r="Y47" s="12">
        <v>-166.88</v>
      </c>
      <c r="Z47" s="13">
        <v>95.379000000000005</v>
      </c>
      <c r="AA47" s="13">
        <v>-94.293999999999997</v>
      </c>
      <c r="AB47" s="13">
        <v>361.45</v>
      </c>
      <c r="AC47" s="13">
        <v>-611.59</v>
      </c>
      <c r="AD47" s="13">
        <v>493.84</v>
      </c>
      <c r="AE47" s="13">
        <v>-156.4</v>
      </c>
      <c r="AF47" s="14">
        <v>5.62</v>
      </c>
      <c r="AG47" s="14">
        <v>3495</v>
      </c>
      <c r="AH47" s="14">
        <v>950</v>
      </c>
      <c r="AI47" s="15" t="s">
        <v>39</v>
      </c>
      <c r="AJ47" s="16"/>
    </row>
    <row r="48" spans="1:36" x14ac:dyDescent="0.3">
      <c r="A48" s="8" t="s">
        <v>36</v>
      </c>
      <c r="B48" s="9" t="s">
        <v>37</v>
      </c>
      <c r="C48" s="8" t="s">
        <v>38</v>
      </c>
      <c r="D48" s="10">
        <v>25.7</v>
      </c>
      <c r="E48" s="11">
        <v>157</v>
      </c>
      <c r="F48" s="11">
        <v>2662</v>
      </c>
      <c r="G48" s="11">
        <v>30.7</v>
      </c>
      <c r="H48" s="18">
        <v>3497</v>
      </c>
      <c r="I48" s="19">
        <v>-63.32</v>
      </c>
      <c r="J48" s="19">
        <v>-44.244999999999997</v>
      </c>
      <c r="K48" s="19">
        <v>705.63</v>
      </c>
      <c r="L48" s="19">
        <v>-1034.9000000000001</v>
      </c>
      <c r="M48" s="19">
        <v>418.1</v>
      </c>
      <c r="N48" s="20">
        <v>40.698999999999998</v>
      </c>
      <c r="O48" s="19">
        <v>42.497999999999998</v>
      </c>
      <c r="P48" s="19">
        <v>23.943999999999999</v>
      </c>
      <c r="Q48" s="19">
        <v>-64.594999999999999</v>
      </c>
      <c r="R48" s="19">
        <v>99.617999999999995</v>
      </c>
      <c r="S48" s="21">
        <v>-42.015999999999998</v>
      </c>
      <c r="T48" s="19">
        <v>124.23</v>
      </c>
      <c r="U48" s="19">
        <v>-275.95999999999998</v>
      </c>
      <c r="V48" s="19">
        <v>801.35</v>
      </c>
      <c r="W48" s="19">
        <v>-1121.7</v>
      </c>
      <c r="X48" s="19">
        <v>720.12</v>
      </c>
      <c r="Y48" s="19">
        <v>-166.88</v>
      </c>
      <c r="Z48" s="19">
        <v>95.379000000000005</v>
      </c>
      <c r="AA48" s="19">
        <v>-94.293999999999997</v>
      </c>
      <c r="AB48" s="19">
        <v>361.45</v>
      </c>
      <c r="AC48" s="19">
        <v>-611.59</v>
      </c>
      <c r="AD48" s="19">
        <v>493.84</v>
      </c>
      <c r="AE48" s="21">
        <v>-156.4</v>
      </c>
      <c r="AF48" s="14">
        <v>5.62</v>
      </c>
      <c r="AG48" s="14">
        <v>3495</v>
      </c>
      <c r="AH48" s="14">
        <v>950</v>
      </c>
      <c r="AI48" s="15" t="s">
        <v>39</v>
      </c>
      <c r="AJ48" s="16"/>
    </row>
    <row r="49" spans="1:36" x14ac:dyDescent="0.3">
      <c r="A49" s="8" t="s">
        <v>36</v>
      </c>
      <c r="B49" s="9" t="s">
        <v>37</v>
      </c>
      <c r="C49" s="9" t="s">
        <v>38</v>
      </c>
      <c r="D49" s="10">
        <v>68</v>
      </c>
      <c r="E49" s="11">
        <v>574</v>
      </c>
      <c r="F49" s="11">
        <v>3462</v>
      </c>
      <c r="G49" s="11">
        <v>92.596774922083213</v>
      </c>
      <c r="H49" s="12">
        <v>3497</v>
      </c>
      <c r="I49" s="12">
        <v>-63.32</v>
      </c>
      <c r="J49" s="12">
        <v>-44.244999999999997</v>
      </c>
      <c r="K49" s="12">
        <v>705.63</v>
      </c>
      <c r="L49" s="12">
        <v>-1034.9000000000001</v>
      </c>
      <c r="M49" s="13">
        <v>418.1</v>
      </c>
      <c r="N49" s="12">
        <v>40.698999999999998</v>
      </c>
      <c r="O49" s="12">
        <v>42.497999999999998</v>
      </c>
      <c r="P49" s="12">
        <v>23.943999999999999</v>
      </c>
      <c r="Q49" s="12">
        <v>-64.594999999999999</v>
      </c>
      <c r="R49" s="12">
        <v>99.617999999999995</v>
      </c>
      <c r="S49" s="12">
        <v>-42.015999999999998</v>
      </c>
      <c r="T49" s="12">
        <v>124.23</v>
      </c>
      <c r="U49" s="12">
        <v>-275.95999999999998</v>
      </c>
      <c r="V49" s="12">
        <v>801.35</v>
      </c>
      <c r="W49" s="12">
        <v>-1121.7</v>
      </c>
      <c r="X49" s="13">
        <v>720.12</v>
      </c>
      <c r="Y49" s="12">
        <v>-166.88</v>
      </c>
      <c r="Z49" s="13">
        <v>95.379000000000005</v>
      </c>
      <c r="AA49" s="13">
        <v>-94.293999999999997</v>
      </c>
      <c r="AB49" s="13">
        <v>361.45</v>
      </c>
      <c r="AC49" s="13">
        <v>-611.59</v>
      </c>
      <c r="AD49" s="13">
        <v>493.84</v>
      </c>
      <c r="AE49" s="13">
        <v>-156.4</v>
      </c>
      <c r="AF49" s="14">
        <v>5.62</v>
      </c>
      <c r="AG49" s="14">
        <v>3495</v>
      </c>
      <c r="AH49" s="14">
        <v>950</v>
      </c>
      <c r="AI49" s="15" t="s">
        <v>39</v>
      </c>
      <c r="AJ49" s="16"/>
    </row>
    <row r="50" spans="1:36" x14ac:dyDescent="0.3">
      <c r="A50" s="8" t="s">
        <v>36</v>
      </c>
      <c r="B50" s="9" t="s">
        <v>37</v>
      </c>
      <c r="C50" s="9" t="s">
        <v>42</v>
      </c>
      <c r="D50" s="10">
        <v>68</v>
      </c>
      <c r="E50" s="11">
        <v>574</v>
      </c>
      <c r="F50" s="11">
        <v>3497</v>
      </c>
      <c r="G50" s="11">
        <v>92.596774922083213</v>
      </c>
      <c r="H50" s="12">
        <v>3497</v>
      </c>
      <c r="I50" s="12">
        <v>-63.32</v>
      </c>
      <c r="J50" s="12">
        <v>-44.244999999999997</v>
      </c>
      <c r="K50" s="12">
        <v>705.63</v>
      </c>
      <c r="L50" s="12">
        <v>-1034.9000000000001</v>
      </c>
      <c r="M50" s="13">
        <v>418.1</v>
      </c>
      <c r="N50" s="12">
        <v>40.698999999999998</v>
      </c>
      <c r="O50" s="12">
        <v>42.497999999999998</v>
      </c>
      <c r="P50" s="12">
        <v>23.943999999999999</v>
      </c>
      <c r="Q50" s="12">
        <v>-64.594999999999999</v>
      </c>
      <c r="R50" s="12">
        <v>99.617999999999995</v>
      </c>
      <c r="S50" s="12">
        <v>-42.015999999999998</v>
      </c>
      <c r="T50" s="12">
        <v>124.23</v>
      </c>
      <c r="U50" s="12">
        <v>-275.95999999999998</v>
      </c>
      <c r="V50" s="12">
        <v>801.35</v>
      </c>
      <c r="W50" s="12">
        <v>-1121.7</v>
      </c>
      <c r="X50" s="13">
        <v>720.12</v>
      </c>
      <c r="Y50" s="12">
        <v>-166.88</v>
      </c>
      <c r="Z50" s="13">
        <v>95.379000000000005</v>
      </c>
      <c r="AA50" s="13">
        <v>-94.293999999999997</v>
      </c>
      <c r="AB50" s="13">
        <v>361.45</v>
      </c>
      <c r="AC50" s="13">
        <v>-611.59</v>
      </c>
      <c r="AD50" s="13">
        <v>493.84</v>
      </c>
      <c r="AE50" s="13">
        <v>-156.4</v>
      </c>
      <c r="AF50" s="14">
        <v>5.62</v>
      </c>
      <c r="AG50" s="14">
        <v>3495</v>
      </c>
      <c r="AH50" s="14">
        <v>950</v>
      </c>
      <c r="AI50" s="15" t="s">
        <v>39</v>
      </c>
      <c r="AJ50" s="16"/>
    </row>
    <row r="51" spans="1:36" x14ac:dyDescent="0.3">
      <c r="A51" s="8" t="s">
        <v>36</v>
      </c>
      <c r="B51" s="9" t="s">
        <v>37</v>
      </c>
      <c r="C51" s="9" t="s">
        <v>43</v>
      </c>
      <c r="D51" s="10">
        <v>68</v>
      </c>
      <c r="E51" s="11">
        <v>626</v>
      </c>
      <c r="F51" s="11">
        <v>3096</v>
      </c>
      <c r="G51" s="11">
        <v>116.5</v>
      </c>
      <c r="H51" s="12">
        <v>3497</v>
      </c>
      <c r="I51" s="12">
        <v>-63.32</v>
      </c>
      <c r="J51" s="12">
        <v>-44.244999999999997</v>
      </c>
      <c r="K51" s="12">
        <v>705.63</v>
      </c>
      <c r="L51" s="12">
        <v>-1034.9000000000001</v>
      </c>
      <c r="M51" s="13">
        <v>418.1</v>
      </c>
      <c r="N51" s="12">
        <v>40.698999999999998</v>
      </c>
      <c r="O51" s="12">
        <v>42.497999999999998</v>
      </c>
      <c r="P51" s="12">
        <v>23.943999999999999</v>
      </c>
      <c r="Q51" s="12">
        <v>-64.594999999999999</v>
      </c>
      <c r="R51" s="12">
        <v>99.617999999999995</v>
      </c>
      <c r="S51" s="12">
        <v>-42.015999999999998</v>
      </c>
      <c r="T51" s="12">
        <v>124.23</v>
      </c>
      <c r="U51" s="12">
        <v>-275.95999999999998</v>
      </c>
      <c r="V51" s="12">
        <v>801.35</v>
      </c>
      <c r="W51" s="12">
        <v>-1121.7</v>
      </c>
      <c r="X51" s="13">
        <v>720.12</v>
      </c>
      <c r="Y51" s="12">
        <v>-166.88</v>
      </c>
      <c r="Z51" s="13">
        <v>95.379000000000005</v>
      </c>
      <c r="AA51" s="13">
        <v>-94.293999999999997</v>
      </c>
      <c r="AB51" s="13">
        <v>361.45</v>
      </c>
      <c r="AC51" s="13">
        <v>-611.59</v>
      </c>
      <c r="AD51" s="13">
        <v>493.84</v>
      </c>
      <c r="AE51" s="13">
        <v>-156.4</v>
      </c>
      <c r="AF51" s="14">
        <v>5.62</v>
      </c>
      <c r="AG51" s="14">
        <v>3495</v>
      </c>
      <c r="AH51" s="14">
        <v>950</v>
      </c>
      <c r="AI51" s="15" t="s">
        <v>39</v>
      </c>
      <c r="AJ51" s="16"/>
    </row>
    <row r="52" spans="1:36" x14ac:dyDescent="0.3">
      <c r="A52" s="8" t="s">
        <v>36</v>
      </c>
      <c r="B52" s="17" t="s">
        <v>40</v>
      </c>
      <c r="C52" s="9" t="s">
        <v>43</v>
      </c>
      <c r="D52" s="10">
        <v>31</v>
      </c>
      <c r="E52" s="11">
        <v>320</v>
      </c>
      <c r="F52" s="11">
        <v>2068</v>
      </c>
      <c r="G52" s="11">
        <v>99</v>
      </c>
      <c r="H52" s="12">
        <v>2678.1831999999999</v>
      </c>
      <c r="I52" s="12">
        <v>5485.6889000000001</v>
      </c>
      <c r="J52" s="12">
        <v>-14259.41</v>
      </c>
      <c r="K52" s="12">
        <v>17906.57</v>
      </c>
      <c r="L52" s="12">
        <v>-11160.13</v>
      </c>
      <c r="M52" s="13">
        <v>2764.1774999999998</v>
      </c>
      <c r="N52" s="12">
        <v>-55.941200000000002</v>
      </c>
      <c r="O52" s="12">
        <v>543.31503999999995</v>
      </c>
      <c r="P52" s="12">
        <v>-1224.143</v>
      </c>
      <c r="Q52" s="12">
        <v>1669.5468000000001</v>
      </c>
      <c r="R52" s="12">
        <v>-1144.998</v>
      </c>
      <c r="S52" s="12">
        <v>312.10921999999999</v>
      </c>
      <c r="T52" s="12">
        <v>288.95916999999997</v>
      </c>
      <c r="U52" s="12">
        <v>-1608.942</v>
      </c>
      <c r="V52" s="12">
        <v>4733.8590999999997</v>
      </c>
      <c r="W52" s="12">
        <v>-6670.8010000000004</v>
      </c>
      <c r="X52" s="13">
        <v>4530.6298999999999</v>
      </c>
      <c r="Y52" s="12">
        <v>-1193.3420000000001</v>
      </c>
      <c r="Z52" s="13">
        <v>-53.766300000000001</v>
      </c>
      <c r="AA52" s="13">
        <v>701.77335999999991</v>
      </c>
      <c r="AB52" s="13">
        <v>-1267.423</v>
      </c>
      <c r="AC52" s="13">
        <v>934.89398000000006</v>
      </c>
      <c r="AD52" s="13">
        <v>-181.85579999999999</v>
      </c>
      <c r="AE52" s="13">
        <v>-49.545999999999999</v>
      </c>
      <c r="AF52" s="14">
        <v>4.5599999999999996</v>
      </c>
      <c r="AG52" s="14">
        <v>3500</v>
      </c>
      <c r="AH52" s="14">
        <v>450</v>
      </c>
      <c r="AI52" s="15" t="s">
        <v>39</v>
      </c>
      <c r="AJ52" s="16"/>
    </row>
    <row r="53" spans="1:36" x14ac:dyDescent="0.3">
      <c r="A53" s="8" t="s">
        <v>36</v>
      </c>
      <c r="B53" s="17" t="s">
        <v>40</v>
      </c>
      <c r="C53" s="9" t="s">
        <v>43</v>
      </c>
      <c r="D53" s="10">
        <v>31</v>
      </c>
      <c r="E53" s="11">
        <v>298</v>
      </c>
      <c r="F53" s="11">
        <v>2924</v>
      </c>
      <c r="G53" s="11">
        <v>65</v>
      </c>
      <c r="H53" s="12">
        <v>2678.1831999999999</v>
      </c>
      <c r="I53" s="12">
        <v>5485.6889000000001</v>
      </c>
      <c r="J53" s="12">
        <v>-14259.41</v>
      </c>
      <c r="K53" s="12">
        <v>17906.57</v>
      </c>
      <c r="L53" s="12">
        <v>-11160.13</v>
      </c>
      <c r="M53" s="13">
        <v>2764.1774999999998</v>
      </c>
      <c r="N53" s="12">
        <v>-55.941200000000002</v>
      </c>
      <c r="O53" s="12">
        <v>543.31503999999995</v>
      </c>
      <c r="P53" s="12">
        <v>-1224.143</v>
      </c>
      <c r="Q53" s="12">
        <v>1669.5468000000001</v>
      </c>
      <c r="R53" s="12">
        <v>-1144.998</v>
      </c>
      <c r="S53" s="12">
        <v>312.10921999999999</v>
      </c>
      <c r="T53" s="12">
        <v>288.95916999999997</v>
      </c>
      <c r="U53" s="12">
        <v>-1608.942</v>
      </c>
      <c r="V53" s="12">
        <v>4733.8590999999997</v>
      </c>
      <c r="W53" s="12">
        <v>-6670.8010000000004</v>
      </c>
      <c r="X53" s="13">
        <v>4530.6298999999999</v>
      </c>
      <c r="Y53" s="12">
        <v>-1193.3420000000001</v>
      </c>
      <c r="Z53" s="13">
        <v>-53.766300000000001</v>
      </c>
      <c r="AA53" s="13">
        <v>701.77335999999991</v>
      </c>
      <c r="AB53" s="13">
        <v>-1267.423</v>
      </c>
      <c r="AC53" s="13">
        <v>934.89398000000006</v>
      </c>
      <c r="AD53" s="13">
        <v>-181.85579999999999</v>
      </c>
      <c r="AE53" s="13">
        <v>-49.545999999999999</v>
      </c>
      <c r="AF53" s="14">
        <v>4.5599999999999996</v>
      </c>
      <c r="AG53" s="14">
        <v>3500</v>
      </c>
      <c r="AH53" s="14">
        <v>450</v>
      </c>
      <c r="AI53" s="15" t="s">
        <v>39</v>
      </c>
      <c r="AJ53" s="16"/>
    </row>
    <row r="54" spans="1:36" x14ac:dyDescent="0.3">
      <c r="A54" s="8" t="s">
        <v>36</v>
      </c>
      <c r="B54" s="9" t="s">
        <v>37</v>
      </c>
      <c r="C54" s="17" t="s">
        <v>42</v>
      </c>
      <c r="D54" s="10">
        <v>100</v>
      </c>
      <c r="E54" s="11">
        <v>1350</v>
      </c>
      <c r="F54" s="11">
        <v>4575</v>
      </c>
      <c r="G54" s="11">
        <v>177</v>
      </c>
      <c r="H54" s="12">
        <v>3497</v>
      </c>
      <c r="I54" s="12">
        <v>-63.32</v>
      </c>
      <c r="J54" s="12">
        <v>-44.244999999999997</v>
      </c>
      <c r="K54" s="12">
        <v>705.63</v>
      </c>
      <c r="L54" s="12">
        <v>-1034.9000000000001</v>
      </c>
      <c r="M54" s="13">
        <v>418.1</v>
      </c>
      <c r="N54" s="12">
        <v>40.698999999999998</v>
      </c>
      <c r="O54" s="12">
        <v>42.497999999999998</v>
      </c>
      <c r="P54" s="12">
        <v>23.943999999999999</v>
      </c>
      <c r="Q54" s="12">
        <v>-64.594999999999999</v>
      </c>
      <c r="R54" s="12">
        <v>99.617999999999995</v>
      </c>
      <c r="S54" s="12">
        <v>-42.015999999999998</v>
      </c>
      <c r="T54" s="12">
        <v>124.23</v>
      </c>
      <c r="U54" s="12">
        <v>-275.95999999999998</v>
      </c>
      <c r="V54" s="12">
        <v>801.35</v>
      </c>
      <c r="W54" s="12">
        <v>-1121.7</v>
      </c>
      <c r="X54" s="13">
        <v>720.12</v>
      </c>
      <c r="Y54" s="12">
        <v>-166.88</v>
      </c>
      <c r="Z54" s="13">
        <v>95.379000000000005</v>
      </c>
      <c r="AA54" s="13">
        <v>-94.293999999999997</v>
      </c>
      <c r="AB54" s="13">
        <v>361.45</v>
      </c>
      <c r="AC54" s="13">
        <v>-611.59</v>
      </c>
      <c r="AD54" s="13">
        <v>493.84</v>
      </c>
      <c r="AE54" s="13">
        <v>-156.4</v>
      </c>
      <c r="AF54" s="14">
        <v>5.62</v>
      </c>
      <c r="AG54" s="14">
        <v>3495</v>
      </c>
      <c r="AH54" s="14">
        <v>950</v>
      </c>
      <c r="AI54" s="15" t="s">
        <v>39</v>
      </c>
      <c r="AJ54" s="16"/>
    </row>
    <row r="55" spans="1:36" x14ac:dyDescent="0.3">
      <c r="A55" s="8" t="s">
        <v>36</v>
      </c>
      <c r="B55" s="17" t="s">
        <v>44</v>
      </c>
      <c r="C55" s="22" t="s">
        <v>45</v>
      </c>
      <c r="D55" s="10">
        <v>25</v>
      </c>
      <c r="E55" s="11">
        <v>120</v>
      </c>
      <c r="F55" s="11">
        <v>1855</v>
      </c>
      <c r="G55" s="11">
        <v>41</v>
      </c>
      <c r="H55" s="12">
        <v>3553.7727272726902</v>
      </c>
      <c r="I55" s="12">
        <v>80.140151515525105</v>
      </c>
      <c r="J55" s="12">
        <v>-187.74038461660999</v>
      </c>
      <c r="K55" s="12">
        <v>-463.50524475339802</v>
      </c>
      <c r="L55" s="12">
        <v>720.42540792410603</v>
      </c>
      <c r="M55" s="13">
        <v>-272.43589743554998</v>
      </c>
      <c r="N55" s="12">
        <v>32.636363636362702</v>
      </c>
      <c r="O55" s="12">
        <v>-44.876923076915702</v>
      </c>
      <c r="P55" s="12">
        <v>329.54545454543398</v>
      </c>
      <c r="Q55" s="12">
        <v>-443.24009324006897</v>
      </c>
      <c r="R55" s="12">
        <v>301.86480186479002</v>
      </c>
      <c r="S55" s="12">
        <v>-76.923076923074902</v>
      </c>
      <c r="T55" s="12">
        <v>27.040909090909398</v>
      </c>
      <c r="U55" s="12">
        <v>288.25364219114198</v>
      </c>
      <c r="V55" s="12">
        <v>-614.01296620046901</v>
      </c>
      <c r="W55" s="12">
        <v>687.85693473194601</v>
      </c>
      <c r="X55" s="13">
        <v>-391.24417249418701</v>
      </c>
      <c r="Y55" s="12">
        <v>88.141025641031504</v>
      </c>
      <c r="Z55" s="13">
        <v>28.690909090909301</v>
      </c>
      <c r="AA55" s="13">
        <v>216.86381118880999</v>
      </c>
      <c r="AB55" s="13">
        <v>-400.77360139860002</v>
      </c>
      <c r="AC55" s="13">
        <v>430.95862470862699</v>
      </c>
      <c r="AD55" s="13">
        <v>-253.642191142196</v>
      </c>
      <c r="AE55" s="13">
        <v>60.8974358974382</v>
      </c>
      <c r="AF55" s="14">
        <v>5.5</v>
      </c>
      <c r="AG55" s="14">
        <v>3550</v>
      </c>
      <c r="AH55" s="14">
        <v>750</v>
      </c>
      <c r="AI55" s="15" t="s">
        <v>39</v>
      </c>
      <c r="AJ55" s="16"/>
    </row>
    <row r="56" spans="1:36" x14ac:dyDescent="0.3">
      <c r="A56" s="8" t="s">
        <v>36</v>
      </c>
      <c r="B56" s="9" t="s">
        <v>37</v>
      </c>
      <c r="C56" s="17" t="s">
        <v>46</v>
      </c>
      <c r="D56" s="10">
        <v>30</v>
      </c>
      <c r="E56" s="11">
        <v>261</v>
      </c>
      <c r="F56" s="11">
        <v>1454</v>
      </c>
      <c r="G56" s="11">
        <v>92.596774922083213</v>
      </c>
      <c r="H56" s="12">
        <v>3497</v>
      </c>
      <c r="I56" s="12">
        <v>-63.32</v>
      </c>
      <c r="J56" s="12">
        <v>-44.244999999999997</v>
      </c>
      <c r="K56" s="12">
        <v>705.63</v>
      </c>
      <c r="L56" s="12">
        <v>-1034.9000000000001</v>
      </c>
      <c r="M56" s="13">
        <v>418.1</v>
      </c>
      <c r="N56" s="12">
        <v>40.698999999999998</v>
      </c>
      <c r="O56" s="12">
        <v>42.497999999999998</v>
      </c>
      <c r="P56" s="12">
        <v>23.943999999999999</v>
      </c>
      <c r="Q56" s="12">
        <v>-64.594999999999999</v>
      </c>
      <c r="R56" s="12">
        <v>99.617999999999995</v>
      </c>
      <c r="S56" s="12">
        <v>-42.015999999999998</v>
      </c>
      <c r="T56" s="12">
        <v>124.23</v>
      </c>
      <c r="U56" s="12">
        <v>-275.95999999999998</v>
      </c>
      <c r="V56" s="12">
        <v>801.35</v>
      </c>
      <c r="W56" s="12">
        <v>-1121.7</v>
      </c>
      <c r="X56" s="13">
        <v>720.12</v>
      </c>
      <c r="Y56" s="12">
        <v>-166.88</v>
      </c>
      <c r="Z56" s="13">
        <v>95.379000000000005</v>
      </c>
      <c r="AA56" s="13">
        <v>-94.293999999999997</v>
      </c>
      <c r="AB56" s="13">
        <v>361.45</v>
      </c>
      <c r="AC56" s="13">
        <v>-611.59</v>
      </c>
      <c r="AD56" s="13">
        <v>493.84</v>
      </c>
      <c r="AE56" s="13">
        <v>-156.4</v>
      </c>
      <c r="AF56" s="14">
        <v>5.62</v>
      </c>
      <c r="AG56" s="14">
        <v>3495</v>
      </c>
      <c r="AH56" s="14">
        <v>950</v>
      </c>
      <c r="AI56" s="15" t="s">
        <v>39</v>
      </c>
      <c r="AJ56" s="16"/>
    </row>
    <row r="57" spans="1:36" x14ac:dyDescent="0.3">
      <c r="A57" s="8" t="s">
        <v>36</v>
      </c>
      <c r="B57" s="17" t="s">
        <v>44</v>
      </c>
      <c r="C57" s="22" t="s">
        <v>45</v>
      </c>
      <c r="D57" s="10">
        <v>25</v>
      </c>
      <c r="E57" s="11">
        <v>200</v>
      </c>
      <c r="F57" s="11">
        <v>2012</v>
      </c>
      <c r="G57" s="11">
        <v>46</v>
      </c>
      <c r="H57" s="12">
        <v>3553.7727272726902</v>
      </c>
      <c r="I57" s="12">
        <v>80.140151515525105</v>
      </c>
      <c r="J57" s="12">
        <v>-187.74038461660999</v>
      </c>
      <c r="K57" s="12">
        <v>-463.50524475339802</v>
      </c>
      <c r="L57" s="12">
        <v>720.42540792410603</v>
      </c>
      <c r="M57" s="13">
        <v>-272.43589743554998</v>
      </c>
      <c r="N57" s="12">
        <v>32.636363636362702</v>
      </c>
      <c r="O57" s="12">
        <v>-44.876923076915702</v>
      </c>
      <c r="P57" s="12">
        <v>329.54545454543398</v>
      </c>
      <c r="Q57" s="12">
        <v>-443.24009324006897</v>
      </c>
      <c r="R57" s="12">
        <v>301.86480186479002</v>
      </c>
      <c r="S57" s="12">
        <v>-76.923076923074902</v>
      </c>
      <c r="T57" s="12">
        <v>27.040909090909398</v>
      </c>
      <c r="U57" s="12">
        <v>288.25364219114198</v>
      </c>
      <c r="V57" s="12">
        <v>-614.01296620046901</v>
      </c>
      <c r="W57" s="12">
        <v>687.85693473194601</v>
      </c>
      <c r="X57" s="13">
        <v>-391.24417249418701</v>
      </c>
      <c r="Y57" s="12">
        <v>88.141025641031504</v>
      </c>
      <c r="Z57" s="13">
        <v>28.690909090909301</v>
      </c>
      <c r="AA57" s="13">
        <v>216.86381118880999</v>
      </c>
      <c r="AB57" s="13">
        <v>-400.77360139860002</v>
      </c>
      <c r="AC57" s="13">
        <v>430.95862470862699</v>
      </c>
      <c r="AD57" s="13">
        <v>-253.642191142196</v>
      </c>
      <c r="AE57" s="13">
        <v>60.8974358974382</v>
      </c>
      <c r="AF57" s="14">
        <v>5.5</v>
      </c>
      <c r="AG57" s="14">
        <v>3550</v>
      </c>
      <c r="AH57" s="14">
        <v>750</v>
      </c>
      <c r="AI57" s="15" t="s">
        <v>39</v>
      </c>
      <c r="AJ57" s="16"/>
    </row>
    <row r="58" spans="1:36" x14ac:dyDescent="0.3">
      <c r="A58" s="8" t="s">
        <v>36</v>
      </c>
      <c r="B58" s="9" t="s">
        <v>37</v>
      </c>
      <c r="C58" s="17" t="s">
        <v>46</v>
      </c>
      <c r="D58" s="10">
        <v>30</v>
      </c>
      <c r="E58" s="11">
        <v>230</v>
      </c>
      <c r="F58" s="11">
        <v>3112</v>
      </c>
      <c r="G58" s="11">
        <v>43.4</v>
      </c>
      <c r="H58" s="12">
        <v>3497</v>
      </c>
      <c r="I58" s="12">
        <v>-63.32</v>
      </c>
      <c r="J58" s="12">
        <v>-44.244999999999997</v>
      </c>
      <c r="K58" s="12">
        <v>705.63</v>
      </c>
      <c r="L58" s="12">
        <v>-1034.9000000000001</v>
      </c>
      <c r="M58" s="13">
        <v>418.1</v>
      </c>
      <c r="N58" s="12">
        <v>40.698999999999998</v>
      </c>
      <c r="O58" s="12">
        <v>42.497999999999998</v>
      </c>
      <c r="P58" s="12">
        <v>23.943999999999999</v>
      </c>
      <c r="Q58" s="12">
        <v>-64.594999999999999</v>
      </c>
      <c r="R58" s="12">
        <v>99.617999999999995</v>
      </c>
      <c r="S58" s="12">
        <v>-42.015999999999998</v>
      </c>
      <c r="T58" s="12">
        <v>124.23</v>
      </c>
      <c r="U58" s="12">
        <v>-275.95999999999998</v>
      </c>
      <c r="V58" s="12">
        <v>801.35</v>
      </c>
      <c r="W58" s="12">
        <v>-1121.7</v>
      </c>
      <c r="X58" s="13">
        <v>720.12</v>
      </c>
      <c r="Y58" s="12">
        <v>-166.88</v>
      </c>
      <c r="Z58" s="13">
        <v>95.379000000000005</v>
      </c>
      <c r="AA58" s="13">
        <v>-94.293999999999997</v>
      </c>
      <c r="AB58" s="13">
        <v>361.45</v>
      </c>
      <c r="AC58" s="13">
        <v>-611.59</v>
      </c>
      <c r="AD58" s="13">
        <v>493.84</v>
      </c>
      <c r="AE58" s="13">
        <v>-156.4</v>
      </c>
      <c r="AF58" s="14">
        <v>5.62</v>
      </c>
      <c r="AG58" s="14">
        <v>3495</v>
      </c>
      <c r="AH58" s="14">
        <v>950</v>
      </c>
      <c r="AI58" s="15" t="s">
        <v>39</v>
      </c>
      <c r="AJ58" s="16"/>
    </row>
    <row r="59" spans="1:36" x14ac:dyDescent="0.3">
      <c r="A59" s="8" t="s">
        <v>36</v>
      </c>
      <c r="B59" s="9" t="s">
        <v>37</v>
      </c>
      <c r="C59" s="17" t="s">
        <v>46</v>
      </c>
      <c r="D59" s="10">
        <v>30</v>
      </c>
      <c r="E59" s="11">
        <v>235</v>
      </c>
      <c r="F59" s="11">
        <v>3144</v>
      </c>
      <c r="G59" s="11">
        <v>44</v>
      </c>
      <c r="H59" s="12">
        <v>3497</v>
      </c>
      <c r="I59" s="12">
        <v>-63.32</v>
      </c>
      <c r="J59" s="12">
        <v>-44.244999999999997</v>
      </c>
      <c r="K59" s="12">
        <v>705.63</v>
      </c>
      <c r="L59" s="12">
        <v>-1034.9000000000001</v>
      </c>
      <c r="M59" s="13">
        <v>418.1</v>
      </c>
      <c r="N59" s="12">
        <v>40.698999999999998</v>
      </c>
      <c r="O59" s="12">
        <v>42.497999999999998</v>
      </c>
      <c r="P59" s="12">
        <v>23.943999999999999</v>
      </c>
      <c r="Q59" s="12">
        <v>-64.594999999999999</v>
      </c>
      <c r="R59" s="12">
        <v>99.617999999999995</v>
      </c>
      <c r="S59" s="12">
        <v>-42.015999999999998</v>
      </c>
      <c r="T59" s="12">
        <v>124.23</v>
      </c>
      <c r="U59" s="12">
        <v>-275.95999999999998</v>
      </c>
      <c r="V59" s="12">
        <v>801.35</v>
      </c>
      <c r="W59" s="12">
        <v>-1121.7</v>
      </c>
      <c r="X59" s="13">
        <v>720.12</v>
      </c>
      <c r="Y59" s="12">
        <v>-166.88</v>
      </c>
      <c r="Z59" s="13">
        <v>95.379000000000005</v>
      </c>
      <c r="AA59" s="13">
        <v>-94.293999999999997</v>
      </c>
      <c r="AB59" s="13">
        <v>361.45</v>
      </c>
      <c r="AC59" s="13">
        <v>-611.59</v>
      </c>
      <c r="AD59" s="13">
        <v>493.84</v>
      </c>
      <c r="AE59" s="13">
        <v>-156.4</v>
      </c>
      <c r="AF59" s="14">
        <v>5.62</v>
      </c>
      <c r="AG59" s="14">
        <v>3495</v>
      </c>
      <c r="AH59" s="14">
        <v>950</v>
      </c>
      <c r="AI59" s="15" t="s">
        <v>39</v>
      </c>
      <c r="AJ59" s="16"/>
    </row>
    <row r="60" spans="1:36" x14ac:dyDescent="0.3">
      <c r="A60" s="8" t="s">
        <v>36</v>
      </c>
      <c r="B60" s="9" t="s">
        <v>37</v>
      </c>
      <c r="C60" s="17" t="s">
        <v>46</v>
      </c>
      <c r="D60" s="10">
        <v>30</v>
      </c>
      <c r="E60" s="11">
        <v>130</v>
      </c>
      <c r="F60" s="11">
        <v>1256</v>
      </c>
      <c r="G60" s="11">
        <v>57.8</v>
      </c>
      <c r="H60" s="12">
        <v>3497</v>
      </c>
      <c r="I60" s="12">
        <v>-63.32</v>
      </c>
      <c r="J60" s="12">
        <v>-44.244999999999997</v>
      </c>
      <c r="K60" s="12">
        <v>705.63</v>
      </c>
      <c r="L60" s="12">
        <v>-1034.9000000000001</v>
      </c>
      <c r="M60" s="13">
        <v>418.1</v>
      </c>
      <c r="N60" s="12">
        <v>40.698999999999998</v>
      </c>
      <c r="O60" s="12">
        <v>42.497999999999998</v>
      </c>
      <c r="P60" s="12">
        <v>23.943999999999999</v>
      </c>
      <c r="Q60" s="12">
        <v>-64.594999999999999</v>
      </c>
      <c r="R60" s="12">
        <v>99.617999999999995</v>
      </c>
      <c r="S60" s="12">
        <v>-42.015999999999998</v>
      </c>
      <c r="T60" s="12">
        <v>124.23</v>
      </c>
      <c r="U60" s="12">
        <v>-275.95999999999998</v>
      </c>
      <c r="V60" s="12">
        <v>801.35</v>
      </c>
      <c r="W60" s="12">
        <v>-1121.7</v>
      </c>
      <c r="X60" s="13">
        <v>720.12</v>
      </c>
      <c r="Y60" s="12">
        <v>-166.88</v>
      </c>
      <c r="Z60" s="13">
        <v>95.379000000000005</v>
      </c>
      <c r="AA60" s="13">
        <v>-94.293999999999997</v>
      </c>
      <c r="AB60" s="13">
        <v>361.45</v>
      </c>
      <c r="AC60" s="13">
        <v>-611.59</v>
      </c>
      <c r="AD60" s="13">
        <v>493.84</v>
      </c>
      <c r="AE60" s="13">
        <v>-156.4</v>
      </c>
      <c r="AF60" s="14">
        <v>5.62</v>
      </c>
      <c r="AG60" s="14">
        <v>3495</v>
      </c>
      <c r="AH60" s="14">
        <v>950</v>
      </c>
      <c r="AI60" s="15" t="s">
        <v>39</v>
      </c>
      <c r="AJ60" s="16"/>
    </row>
    <row r="61" spans="1:36" x14ac:dyDescent="0.3">
      <c r="A61" s="23" t="s">
        <v>36</v>
      </c>
      <c r="B61" s="24" t="s">
        <v>37</v>
      </c>
      <c r="C61" s="24" t="s">
        <v>38</v>
      </c>
      <c r="D61" s="25">
        <v>34</v>
      </c>
      <c r="E61" s="26">
        <v>391</v>
      </c>
      <c r="F61" s="26">
        <v>1948</v>
      </c>
      <c r="G61" s="26">
        <v>92.6</v>
      </c>
      <c r="H61" s="27">
        <v>3497</v>
      </c>
      <c r="I61" s="27">
        <v>-63.32</v>
      </c>
      <c r="J61" s="27">
        <v>-44.244999999999997</v>
      </c>
      <c r="K61" s="27">
        <v>705.63</v>
      </c>
      <c r="L61" s="27">
        <v>-1034.9000000000001</v>
      </c>
      <c r="M61" s="28">
        <v>418.1</v>
      </c>
      <c r="N61" s="27">
        <v>40.698999999999998</v>
      </c>
      <c r="O61" s="27">
        <v>42.497999999999998</v>
      </c>
      <c r="P61" s="27">
        <v>23.943999999999999</v>
      </c>
      <c r="Q61" s="27">
        <v>-64.594999999999999</v>
      </c>
      <c r="R61" s="27">
        <v>99.617999999999995</v>
      </c>
      <c r="S61" s="27">
        <v>-42.015999999999998</v>
      </c>
      <c r="T61" s="27">
        <v>124.23</v>
      </c>
      <c r="U61" s="27">
        <v>-275.95999999999998</v>
      </c>
      <c r="V61" s="27">
        <v>801.35</v>
      </c>
      <c r="W61" s="27">
        <v>-1121.7</v>
      </c>
      <c r="X61" s="28">
        <v>720.12</v>
      </c>
      <c r="Y61" s="27">
        <v>-166.88</v>
      </c>
      <c r="Z61" s="28">
        <v>95.379000000000005</v>
      </c>
      <c r="AA61" s="28">
        <v>-94.293999999999997</v>
      </c>
      <c r="AB61" s="28">
        <v>361.45</v>
      </c>
      <c r="AC61" s="28">
        <v>-611.59</v>
      </c>
      <c r="AD61" s="28">
        <v>493.84</v>
      </c>
      <c r="AE61" s="28">
        <v>-156.4</v>
      </c>
      <c r="AF61" s="29">
        <v>5.62</v>
      </c>
      <c r="AG61" s="29">
        <v>3495</v>
      </c>
      <c r="AH61" s="29">
        <v>950</v>
      </c>
      <c r="AI61" s="30" t="s">
        <v>39</v>
      </c>
      <c r="AJ61" s="31"/>
    </row>
    <row r="62" spans="1:36" x14ac:dyDescent="0.3">
      <c r="A62" s="8" t="s">
        <v>36</v>
      </c>
      <c r="B62" s="9" t="s">
        <v>37</v>
      </c>
      <c r="C62" s="9" t="s">
        <v>38</v>
      </c>
      <c r="D62" s="10">
        <v>68</v>
      </c>
      <c r="E62" s="11">
        <v>400</v>
      </c>
      <c r="F62" s="11">
        <v>3354</v>
      </c>
      <c r="G62" s="11">
        <v>74</v>
      </c>
      <c r="H62" s="12">
        <v>3497</v>
      </c>
      <c r="I62" s="12">
        <v>-63.32</v>
      </c>
      <c r="J62" s="12">
        <v>-44.244999999999997</v>
      </c>
      <c r="K62" s="12">
        <v>705.63</v>
      </c>
      <c r="L62" s="12">
        <v>-1034.9000000000001</v>
      </c>
      <c r="M62" s="13">
        <v>418.1</v>
      </c>
      <c r="N62" s="12">
        <v>40.698999999999998</v>
      </c>
      <c r="O62" s="12">
        <v>42.497999999999998</v>
      </c>
      <c r="P62" s="12">
        <v>23.943999999999999</v>
      </c>
      <c r="Q62" s="12">
        <v>-64.594999999999999</v>
      </c>
      <c r="R62" s="12">
        <v>99.617999999999995</v>
      </c>
      <c r="S62" s="12">
        <v>-42.015999999999998</v>
      </c>
      <c r="T62" s="12">
        <v>124.23</v>
      </c>
      <c r="U62" s="12">
        <v>-275.95999999999998</v>
      </c>
      <c r="V62" s="12">
        <v>801.35</v>
      </c>
      <c r="W62" s="12">
        <v>-1121.7</v>
      </c>
      <c r="X62" s="13">
        <v>720.12</v>
      </c>
      <c r="Y62" s="12">
        <v>-166.88</v>
      </c>
      <c r="Z62" s="13">
        <v>95.379000000000005</v>
      </c>
      <c r="AA62" s="13">
        <v>-94.293999999999997</v>
      </c>
      <c r="AB62" s="13">
        <v>361.45</v>
      </c>
      <c r="AC62" s="13">
        <v>-611.59</v>
      </c>
      <c r="AD62" s="13">
        <v>493.84</v>
      </c>
      <c r="AE62" s="13">
        <v>-156.4</v>
      </c>
      <c r="AF62" s="14">
        <v>5.62</v>
      </c>
      <c r="AG62" s="14">
        <v>3495</v>
      </c>
      <c r="AH62" s="14">
        <v>950</v>
      </c>
      <c r="AI62" s="15" t="s">
        <v>39</v>
      </c>
      <c r="AJ62" s="16"/>
    </row>
    <row r="63" spans="1:36" x14ac:dyDescent="0.3">
      <c r="A63" s="8" t="s">
        <v>36</v>
      </c>
      <c r="B63" s="17" t="s">
        <v>40</v>
      </c>
      <c r="C63" s="9" t="s">
        <v>43</v>
      </c>
      <c r="D63" s="10">
        <v>61.5</v>
      </c>
      <c r="E63" s="11">
        <v>412</v>
      </c>
      <c r="F63" s="11">
        <v>3356</v>
      </c>
      <c r="G63" s="11">
        <v>78.5</v>
      </c>
      <c r="H63" s="12">
        <v>2678.1831999999999</v>
      </c>
      <c r="I63" s="12">
        <v>5485.6889000000001</v>
      </c>
      <c r="J63" s="12">
        <v>-14259.41</v>
      </c>
      <c r="K63" s="12">
        <v>17906.57</v>
      </c>
      <c r="L63" s="12">
        <v>-11160.13</v>
      </c>
      <c r="M63" s="13">
        <v>2764.1774999999998</v>
      </c>
      <c r="N63" s="12">
        <v>-55.941200000000002</v>
      </c>
      <c r="O63" s="12">
        <v>543.31503999999995</v>
      </c>
      <c r="P63" s="12">
        <v>-1224.143</v>
      </c>
      <c r="Q63" s="12">
        <v>1669.5468000000001</v>
      </c>
      <c r="R63" s="12">
        <v>-1144.998</v>
      </c>
      <c r="S63" s="12">
        <v>312.10921999999999</v>
      </c>
      <c r="T63" s="12">
        <v>288.95916999999997</v>
      </c>
      <c r="U63" s="12">
        <v>-1608.942</v>
      </c>
      <c r="V63" s="12">
        <v>4733.8590999999997</v>
      </c>
      <c r="W63" s="12">
        <v>-6670.8010000000004</v>
      </c>
      <c r="X63" s="13">
        <v>4530.6298999999999</v>
      </c>
      <c r="Y63" s="12">
        <v>-1193.3420000000001</v>
      </c>
      <c r="Z63" s="13">
        <v>-53.766300000000001</v>
      </c>
      <c r="AA63" s="13">
        <v>701.77335999999991</v>
      </c>
      <c r="AB63" s="13">
        <v>-1267.423</v>
      </c>
      <c r="AC63" s="13">
        <v>934.89398000000006</v>
      </c>
      <c r="AD63" s="13">
        <v>-181.85579999999999</v>
      </c>
      <c r="AE63" s="13">
        <v>-49.545999999999999</v>
      </c>
      <c r="AF63" s="14">
        <v>4.5599999999999996</v>
      </c>
      <c r="AG63" s="14">
        <v>3500</v>
      </c>
      <c r="AH63" s="14">
        <v>450</v>
      </c>
      <c r="AI63" s="15" t="s">
        <v>47</v>
      </c>
      <c r="AJ63" s="16"/>
    </row>
    <row r="64" spans="1:36" x14ac:dyDescent="0.3">
      <c r="A64" s="32" t="s">
        <v>36</v>
      </c>
      <c r="B64" s="33" t="s">
        <v>48</v>
      </c>
      <c r="C64" s="32" t="s">
        <v>49</v>
      </c>
      <c r="D64" s="10">
        <v>3.8</v>
      </c>
      <c r="E64" s="11">
        <v>16</v>
      </c>
      <c r="F64" s="11">
        <v>504</v>
      </c>
      <c r="G64" s="11">
        <v>17.2</v>
      </c>
      <c r="H64" s="12">
        <v>3600</v>
      </c>
      <c r="I64" s="12">
        <v>0</v>
      </c>
      <c r="J64" s="12">
        <v>0</v>
      </c>
      <c r="K64" s="12">
        <v>0</v>
      </c>
      <c r="L64" s="12">
        <v>0</v>
      </c>
      <c r="M64" s="13">
        <v>0</v>
      </c>
      <c r="N64" s="34">
        <v>6.6666664252167784</v>
      </c>
      <c r="O64" s="34">
        <v>58.981599302336512</v>
      </c>
      <c r="P64" s="34">
        <v>99.721276241543364</v>
      </c>
      <c r="Q64" s="34">
        <v>-119.78014937945676</v>
      </c>
      <c r="R64" s="34">
        <v>71.110021367128951</v>
      </c>
      <c r="S64" s="34">
        <v>-16.699079307171225</v>
      </c>
      <c r="T64" s="12">
        <v>2.2561963680800545E-4</v>
      </c>
      <c r="U64" s="12">
        <v>140.13361481988187</v>
      </c>
      <c r="V64" s="12">
        <v>822.24246992137103</v>
      </c>
      <c r="W64" s="12">
        <v>-2380.7321324578388</v>
      </c>
      <c r="X64" s="13">
        <v>2186.1114627619449</v>
      </c>
      <c r="Y64" s="12">
        <v>-677.7303320837774</v>
      </c>
      <c r="Z64" s="13">
        <v>9.3622209789145927E-6</v>
      </c>
      <c r="AA64" s="13">
        <v>495.78848705178706</v>
      </c>
      <c r="AB64" s="13">
        <v>-1097.5258195985868</v>
      </c>
      <c r="AC64" s="13">
        <v>1219.4752921873276</v>
      </c>
      <c r="AD64" s="13">
        <v>-673.95774517619441</v>
      </c>
      <c r="AE64" s="13">
        <v>147.50680013529853</v>
      </c>
      <c r="AF64" s="14">
        <v>4.6059999999999999</v>
      </c>
      <c r="AG64" s="14">
        <v>3600</v>
      </c>
      <c r="AH64" s="14">
        <v>700</v>
      </c>
      <c r="AI64" s="15" t="s">
        <v>39</v>
      </c>
      <c r="AJ64" s="16"/>
    </row>
    <row r="65" spans="1:36" x14ac:dyDescent="0.3">
      <c r="A65" s="32" t="s">
        <v>36</v>
      </c>
      <c r="B65" s="33" t="s">
        <v>48</v>
      </c>
      <c r="C65" s="32" t="s">
        <v>50</v>
      </c>
      <c r="D65" s="10">
        <v>3.8</v>
      </c>
      <c r="E65" s="11">
        <v>16</v>
      </c>
      <c r="F65" s="11">
        <v>396</v>
      </c>
      <c r="G65" s="35">
        <v>21.7</v>
      </c>
      <c r="H65" s="12">
        <v>3600</v>
      </c>
      <c r="I65" s="12">
        <v>0</v>
      </c>
      <c r="J65" s="12">
        <v>0</v>
      </c>
      <c r="K65" s="12">
        <v>0</v>
      </c>
      <c r="L65" s="12">
        <v>0</v>
      </c>
      <c r="M65" s="13">
        <v>0</v>
      </c>
      <c r="N65" s="34">
        <v>6.6666664252167784</v>
      </c>
      <c r="O65" s="34">
        <v>58.981599302336512</v>
      </c>
      <c r="P65" s="34">
        <v>99.721276241543364</v>
      </c>
      <c r="Q65" s="34">
        <v>-119.78014937945676</v>
      </c>
      <c r="R65" s="34">
        <v>71.110021367128951</v>
      </c>
      <c r="S65" s="34">
        <v>-16.699079307171225</v>
      </c>
      <c r="T65" s="12">
        <v>2.2561963680800545E-4</v>
      </c>
      <c r="U65" s="12">
        <v>140.13361481988187</v>
      </c>
      <c r="V65" s="12">
        <v>822.24246992137103</v>
      </c>
      <c r="W65" s="12">
        <v>-2380.7321324578388</v>
      </c>
      <c r="X65" s="13">
        <v>2186.1114627619449</v>
      </c>
      <c r="Y65" s="12">
        <v>-677.7303320837774</v>
      </c>
      <c r="Z65" s="13">
        <v>9.3622209789145927E-6</v>
      </c>
      <c r="AA65" s="13">
        <v>495.78848705178706</v>
      </c>
      <c r="AB65" s="13">
        <v>-1097.5258195985868</v>
      </c>
      <c r="AC65" s="13">
        <v>1219.4752921873276</v>
      </c>
      <c r="AD65" s="13">
        <v>-673.95774517619441</v>
      </c>
      <c r="AE65" s="13">
        <v>147.50680013529853</v>
      </c>
      <c r="AF65" s="14">
        <v>4.6059999999999999</v>
      </c>
      <c r="AG65" s="14">
        <v>3600</v>
      </c>
      <c r="AH65" s="14">
        <v>700</v>
      </c>
      <c r="AI65" s="15" t="s">
        <v>39</v>
      </c>
      <c r="AJ65" s="16"/>
    </row>
    <row r="66" spans="1:36" x14ac:dyDescent="0.3">
      <c r="A66" s="32" t="s">
        <v>36</v>
      </c>
      <c r="B66" s="33" t="s">
        <v>48</v>
      </c>
      <c r="C66" s="32" t="s">
        <v>49</v>
      </c>
      <c r="D66" s="10">
        <v>5.0999999999999996</v>
      </c>
      <c r="E66" s="11">
        <v>32</v>
      </c>
      <c r="F66" s="11">
        <v>1008</v>
      </c>
      <c r="G66" s="35">
        <v>17</v>
      </c>
      <c r="H66" s="12">
        <v>3600</v>
      </c>
      <c r="I66" s="12">
        <v>0</v>
      </c>
      <c r="J66" s="12">
        <v>0</v>
      </c>
      <c r="K66" s="12">
        <v>0</v>
      </c>
      <c r="L66" s="12">
        <v>0</v>
      </c>
      <c r="M66" s="13">
        <v>0</v>
      </c>
      <c r="N66" s="34">
        <v>6.6666664252167784</v>
      </c>
      <c r="O66" s="34">
        <v>58.981599302336512</v>
      </c>
      <c r="P66" s="34">
        <v>99.721276241543364</v>
      </c>
      <c r="Q66" s="34">
        <v>-119.78014937945676</v>
      </c>
      <c r="R66" s="34">
        <v>71.110021367128951</v>
      </c>
      <c r="S66" s="34">
        <v>-16.699079307171225</v>
      </c>
      <c r="T66" s="12">
        <v>2.2561963680800545E-4</v>
      </c>
      <c r="U66" s="12">
        <v>140.13361481988187</v>
      </c>
      <c r="V66" s="12">
        <v>822.24246992137103</v>
      </c>
      <c r="W66" s="12">
        <v>-2380.7321324578388</v>
      </c>
      <c r="X66" s="13">
        <v>2186.1114627619449</v>
      </c>
      <c r="Y66" s="12">
        <v>-677.7303320837774</v>
      </c>
      <c r="Z66" s="13">
        <v>9.3622209789145927E-6</v>
      </c>
      <c r="AA66" s="13">
        <v>495.78848705178706</v>
      </c>
      <c r="AB66" s="13">
        <v>-1097.5258195985868</v>
      </c>
      <c r="AC66" s="13">
        <v>1219.4752921873276</v>
      </c>
      <c r="AD66" s="13">
        <v>-673.95774517619441</v>
      </c>
      <c r="AE66" s="13">
        <v>147.50680013529853</v>
      </c>
      <c r="AF66" s="14">
        <v>4.6059999999999999</v>
      </c>
      <c r="AG66" s="14">
        <v>3600</v>
      </c>
      <c r="AH66" s="14">
        <v>700</v>
      </c>
      <c r="AI66" s="15" t="s">
        <v>39</v>
      </c>
      <c r="AJ66" s="16"/>
    </row>
    <row r="67" spans="1:36" x14ac:dyDescent="0.3">
      <c r="A67" s="32" t="s">
        <v>36</v>
      </c>
      <c r="B67" s="33" t="s">
        <v>48</v>
      </c>
      <c r="C67" s="32" t="s">
        <v>50</v>
      </c>
      <c r="D67" s="10">
        <v>5.0999999999999996</v>
      </c>
      <c r="E67" s="11">
        <v>32</v>
      </c>
      <c r="F67" s="11">
        <v>792</v>
      </c>
      <c r="G67" s="11">
        <v>21.5</v>
      </c>
      <c r="H67" s="12">
        <v>3600</v>
      </c>
      <c r="I67" s="12">
        <v>0</v>
      </c>
      <c r="J67" s="12">
        <v>0</v>
      </c>
      <c r="K67" s="12">
        <v>0</v>
      </c>
      <c r="L67" s="12">
        <v>0</v>
      </c>
      <c r="M67" s="13">
        <v>0</v>
      </c>
      <c r="N67" s="34">
        <v>6.6666664252167784</v>
      </c>
      <c r="O67" s="34">
        <v>58.981599302336512</v>
      </c>
      <c r="P67" s="34">
        <v>99.721276241543364</v>
      </c>
      <c r="Q67" s="34">
        <v>-119.78014937945676</v>
      </c>
      <c r="R67" s="34">
        <v>71.110021367128951</v>
      </c>
      <c r="S67" s="34">
        <v>-16.699079307171225</v>
      </c>
      <c r="T67" s="12">
        <v>2.2561963680800545E-4</v>
      </c>
      <c r="U67" s="12">
        <v>140.13361481988187</v>
      </c>
      <c r="V67" s="12">
        <v>822.24246992137103</v>
      </c>
      <c r="W67" s="12">
        <v>-2380.7321324578388</v>
      </c>
      <c r="X67" s="13">
        <v>2186.1114627619449</v>
      </c>
      <c r="Y67" s="12">
        <v>-677.7303320837774</v>
      </c>
      <c r="Z67" s="13">
        <v>9.3622209789145927E-6</v>
      </c>
      <c r="AA67" s="13">
        <v>495.78848705178706</v>
      </c>
      <c r="AB67" s="13">
        <v>-1097.5258195985868</v>
      </c>
      <c r="AC67" s="13">
        <v>1219.4752921873276</v>
      </c>
      <c r="AD67" s="13">
        <v>-673.95774517619441</v>
      </c>
      <c r="AE67" s="13">
        <v>147.50680013529853</v>
      </c>
      <c r="AF67" s="14">
        <v>4.6059999999999999</v>
      </c>
      <c r="AG67" s="14">
        <v>3600</v>
      </c>
      <c r="AH67" s="14">
        <v>700</v>
      </c>
      <c r="AI67" s="15" t="s">
        <v>39</v>
      </c>
      <c r="AJ67" s="16"/>
    </row>
    <row r="68" spans="1:36" x14ac:dyDescent="0.3">
      <c r="A68" s="32" t="s">
        <v>36</v>
      </c>
      <c r="B68" s="33" t="s">
        <v>48</v>
      </c>
      <c r="C68" s="32" t="s">
        <v>49</v>
      </c>
      <c r="D68" s="10">
        <v>6.3451443569553803</v>
      </c>
      <c r="E68" s="11">
        <v>48.276792</v>
      </c>
      <c r="F68" s="11">
        <v>1500</v>
      </c>
      <c r="G68" s="11">
        <v>16.899999999999999</v>
      </c>
      <c r="H68" s="12">
        <v>3600</v>
      </c>
      <c r="I68" s="12">
        <v>0</v>
      </c>
      <c r="J68" s="12">
        <v>0</v>
      </c>
      <c r="K68" s="12">
        <v>0</v>
      </c>
      <c r="L68" s="12">
        <v>0</v>
      </c>
      <c r="M68" s="13">
        <v>0</v>
      </c>
      <c r="N68" s="34">
        <v>6.6666664252167784</v>
      </c>
      <c r="O68" s="34">
        <v>58.981599302336512</v>
      </c>
      <c r="P68" s="34">
        <v>99.721276241543364</v>
      </c>
      <c r="Q68" s="34">
        <v>-119.78014937945676</v>
      </c>
      <c r="R68" s="34">
        <v>71.110021367128951</v>
      </c>
      <c r="S68" s="34">
        <v>-16.699079307171225</v>
      </c>
      <c r="T68" s="12">
        <v>2.2561963680800545E-4</v>
      </c>
      <c r="U68" s="12">
        <v>140.13361481988187</v>
      </c>
      <c r="V68" s="12">
        <v>822.24246992137103</v>
      </c>
      <c r="W68" s="12">
        <v>-2380.7321324578388</v>
      </c>
      <c r="X68" s="13">
        <v>2186.1114627619449</v>
      </c>
      <c r="Y68" s="12">
        <v>-677.7303320837774</v>
      </c>
      <c r="Z68" s="13">
        <v>9.3622209789145927E-6</v>
      </c>
      <c r="AA68" s="13">
        <v>495.78848705178706</v>
      </c>
      <c r="AB68" s="13">
        <v>-1097.5258195985868</v>
      </c>
      <c r="AC68" s="13">
        <v>1219.4752921873276</v>
      </c>
      <c r="AD68" s="13">
        <v>-673.95774517619441</v>
      </c>
      <c r="AE68" s="13">
        <v>147.50680013529853</v>
      </c>
      <c r="AF68" s="14">
        <v>4.6059999999999999</v>
      </c>
      <c r="AG68" s="14">
        <v>3600</v>
      </c>
      <c r="AH68" s="14">
        <v>700</v>
      </c>
      <c r="AI68" s="15" t="s">
        <v>39</v>
      </c>
      <c r="AJ68" s="16"/>
    </row>
    <row r="69" spans="1:36" x14ac:dyDescent="0.3">
      <c r="A69" s="32" t="s">
        <v>36</v>
      </c>
      <c r="B69" s="33" t="s">
        <v>48</v>
      </c>
      <c r="C69" s="32" t="s">
        <v>50</v>
      </c>
      <c r="D69" s="10">
        <v>6.3451443569553803</v>
      </c>
      <c r="E69" s="11">
        <v>48.276792</v>
      </c>
      <c r="F69" s="11">
        <v>1200</v>
      </c>
      <c r="G69" s="35">
        <v>21.4</v>
      </c>
      <c r="H69" s="12">
        <v>3600</v>
      </c>
      <c r="I69" s="12">
        <v>0</v>
      </c>
      <c r="J69" s="12">
        <v>0</v>
      </c>
      <c r="K69" s="12">
        <v>0</v>
      </c>
      <c r="L69" s="12">
        <v>0</v>
      </c>
      <c r="M69" s="13">
        <v>0</v>
      </c>
      <c r="N69" s="34">
        <v>6.6666664252167784</v>
      </c>
      <c r="O69" s="34">
        <v>58.981599302336512</v>
      </c>
      <c r="P69" s="34">
        <v>99.721276241543364</v>
      </c>
      <c r="Q69" s="34">
        <v>-119.78014937945676</v>
      </c>
      <c r="R69" s="34">
        <v>71.110021367128951</v>
      </c>
      <c r="S69" s="34">
        <v>-16.699079307171225</v>
      </c>
      <c r="T69" s="12">
        <v>2.2561963680800545E-4</v>
      </c>
      <c r="U69" s="12">
        <v>140.13361481988187</v>
      </c>
      <c r="V69" s="12">
        <v>822.24246992137103</v>
      </c>
      <c r="W69" s="12">
        <v>-2380.7321324578388</v>
      </c>
      <c r="X69" s="13">
        <v>2186.1114627619449</v>
      </c>
      <c r="Y69" s="12">
        <v>-677.7303320837774</v>
      </c>
      <c r="Z69" s="13">
        <v>9.3622209789145927E-6</v>
      </c>
      <c r="AA69" s="13">
        <v>495.78848705178706</v>
      </c>
      <c r="AB69" s="13">
        <v>-1097.5258195985868</v>
      </c>
      <c r="AC69" s="13">
        <v>1219.4752921873276</v>
      </c>
      <c r="AD69" s="13">
        <v>-673.95774517619441</v>
      </c>
      <c r="AE69" s="13">
        <v>147.50680013529853</v>
      </c>
      <c r="AF69" s="14">
        <v>4.6059999999999999</v>
      </c>
      <c r="AG69" s="14">
        <v>3600</v>
      </c>
      <c r="AH69" s="14">
        <v>700</v>
      </c>
      <c r="AI69" s="15" t="s">
        <v>39</v>
      </c>
      <c r="AJ69" s="16"/>
    </row>
    <row r="70" spans="1:36" x14ac:dyDescent="0.3">
      <c r="A70" s="32" t="s">
        <v>36</v>
      </c>
      <c r="B70" s="33" t="s">
        <v>48</v>
      </c>
      <c r="C70" s="32" t="s">
        <v>49</v>
      </c>
      <c r="D70" s="10">
        <v>7.591863517060367</v>
      </c>
      <c r="E70" s="11">
        <v>64.369056</v>
      </c>
      <c r="F70" s="11">
        <v>2040</v>
      </c>
      <c r="G70" s="35">
        <v>16.899999999999999</v>
      </c>
      <c r="H70" s="12">
        <v>3600</v>
      </c>
      <c r="I70" s="12">
        <v>0</v>
      </c>
      <c r="J70" s="12">
        <v>0</v>
      </c>
      <c r="K70" s="12">
        <v>0</v>
      </c>
      <c r="L70" s="12">
        <v>0</v>
      </c>
      <c r="M70" s="13">
        <v>0</v>
      </c>
      <c r="N70" s="34">
        <v>6.6985643506962962</v>
      </c>
      <c r="O70" s="34">
        <v>58.785339011917394</v>
      </c>
      <c r="P70" s="34">
        <v>100.19841153456319</v>
      </c>
      <c r="Q70" s="34">
        <v>-120.35326014203388</v>
      </c>
      <c r="R70" s="34">
        <v>71.45026070381013</v>
      </c>
      <c r="S70" s="34">
        <v>-16.778979208161275</v>
      </c>
      <c r="T70" s="12">
        <v>-2.0492478540745651E-5</v>
      </c>
      <c r="U70" s="12">
        <v>811.28901010449169</v>
      </c>
      <c r="V70" s="12">
        <v>-2451.071027807322</v>
      </c>
      <c r="W70" s="12">
        <v>3487.8035010515573</v>
      </c>
      <c r="X70" s="13">
        <v>-2395.6238603156994</v>
      </c>
      <c r="Y70" s="12">
        <v>639.21761388570599</v>
      </c>
      <c r="Z70" s="13">
        <v>-1.7891439938466647E-6</v>
      </c>
      <c r="AA70" s="13">
        <v>527.68698416361224</v>
      </c>
      <c r="AB70" s="13">
        <v>-1251.8986763833577</v>
      </c>
      <c r="AC70" s="13">
        <v>1495.7624264313483</v>
      </c>
      <c r="AD70" s="13">
        <v>-889.74140833609829</v>
      </c>
      <c r="AE70" s="13">
        <v>209.59315566715776</v>
      </c>
      <c r="AF70" s="14">
        <v>4.6059999999999999</v>
      </c>
      <c r="AG70" s="14">
        <v>3600</v>
      </c>
      <c r="AH70" s="14">
        <v>700</v>
      </c>
      <c r="AI70" s="15" t="s">
        <v>39</v>
      </c>
      <c r="AJ70" s="16"/>
    </row>
    <row r="71" spans="1:36" x14ac:dyDescent="0.3">
      <c r="A71" s="32" t="s">
        <v>36</v>
      </c>
      <c r="B71" s="33" t="s">
        <v>48</v>
      </c>
      <c r="C71" s="32" t="s">
        <v>50</v>
      </c>
      <c r="D71" s="10">
        <v>7.591863517060367</v>
      </c>
      <c r="E71" s="11">
        <v>64.369056</v>
      </c>
      <c r="F71" s="11">
        <v>1560</v>
      </c>
      <c r="G71" s="11">
        <v>21.4</v>
      </c>
      <c r="H71" s="12">
        <v>3600</v>
      </c>
      <c r="I71" s="12">
        <v>0</v>
      </c>
      <c r="J71" s="12">
        <v>0</v>
      </c>
      <c r="K71" s="12">
        <v>0</v>
      </c>
      <c r="L71" s="12">
        <v>0</v>
      </c>
      <c r="M71" s="13">
        <v>0</v>
      </c>
      <c r="N71" s="34">
        <v>6.6985643506962962</v>
      </c>
      <c r="O71" s="34">
        <v>58.785339011917394</v>
      </c>
      <c r="P71" s="34">
        <v>100.19841153456319</v>
      </c>
      <c r="Q71" s="34">
        <v>-120.35326014203388</v>
      </c>
      <c r="R71" s="34">
        <v>71.45026070381013</v>
      </c>
      <c r="S71" s="34">
        <v>-16.778979208161275</v>
      </c>
      <c r="T71" s="12">
        <v>-2.0492478540745651E-5</v>
      </c>
      <c r="U71" s="12">
        <v>811.28901010449169</v>
      </c>
      <c r="V71" s="12">
        <v>-2451.071027807322</v>
      </c>
      <c r="W71" s="12">
        <v>3487.8035010515573</v>
      </c>
      <c r="X71" s="13">
        <v>-2395.6238603156994</v>
      </c>
      <c r="Y71" s="12">
        <v>639.21761388570599</v>
      </c>
      <c r="Z71" s="13">
        <v>-1.7891439938466647E-6</v>
      </c>
      <c r="AA71" s="13">
        <v>527.68698416361224</v>
      </c>
      <c r="AB71" s="13">
        <v>-1251.8986763833577</v>
      </c>
      <c r="AC71" s="13">
        <v>1495.7624264313483</v>
      </c>
      <c r="AD71" s="13">
        <v>-889.74140833609829</v>
      </c>
      <c r="AE71" s="13">
        <v>209.59315566715776</v>
      </c>
      <c r="AF71" s="14">
        <v>4.6059999999999999</v>
      </c>
      <c r="AG71" s="14">
        <v>3600</v>
      </c>
      <c r="AH71" s="14">
        <v>700</v>
      </c>
      <c r="AI71" s="15" t="s">
        <v>39</v>
      </c>
      <c r="AJ71" s="16"/>
    </row>
    <row r="72" spans="1:36" x14ac:dyDescent="0.3">
      <c r="A72" s="32" t="s">
        <v>36</v>
      </c>
      <c r="B72" s="33" t="s">
        <v>48</v>
      </c>
      <c r="C72" s="32" t="s">
        <v>49</v>
      </c>
      <c r="D72" s="10">
        <v>8.8385826771653537</v>
      </c>
      <c r="E72" s="11">
        <v>80.461319999999972</v>
      </c>
      <c r="F72" s="11">
        <v>2520</v>
      </c>
      <c r="G72" s="11">
        <v>16.8</v>
      </c>
      <c r="H72" s="12">
        <v>3600</v>
      </c>
      <c r="I72" s="12">
        <v>0</v>
      </c>
      <c r="J72" s="12">
        <v>0</v>
      </c>
      <c r="K72" s="12">
        <v>0</v>
      </c>
      <c r="L72" s="12">
        <v>0</v>
      </c>
      <c r="M72" s="13">
        <v>0</v>
      </c>
      <c r="N72" s="34">
        <v>6.6985643506962962</v>
      </c>
      <c r="O72" s="34">
        <v>58.785339011917394</v>
      </c>
      <c r="P72" s="34">
        <v>100.19841153456319</v>
      </c>
      <c r="Q72" s="34">
        <v>-120.35326014203388</v>
      </c>
      <c r="R72" s="34">
        <v>71.45026070381013</v>
      </c>
      <c r="S72" s="34">
        <v>-16.778979208161275</v>
      </c>
      <c r="T72" s="12">
        <v>6.1258396755192734E-5</v>
      </c>
      <c r="U72" s="12">
        <v>708.86271523220194</v>
      </c>
      <c r="V72" s="12">
        <v>-1904.0167218865631</v>
      </c>
      <c r="W72" s="12">
        <v>2428.2425999104007</v>
      </c>
      <c r="X72" s="12">
        <v>-1511.0194721575529</v>
      </c>
      <c r="Y72" s="12">
        <v>369.89047832518861</v>
      </c>
      <c r="Z72" s="13">
        <v>-1.7855220022511276E-6</v>
      </c>
      <c r="AA72" s="13">
        <v>528.30226017407585</v>
      </c>
      <c r="AB72" s="13">
        <v>-1253.3944955269756</v>
      </c>
      <c r="AC72" s="13">
        <v>1497.5591286720326</v>
      </c>
      <c r="AD72" s="13">
        <v>-890.80805865660056</v>
      </c>
      <c r="AE72" s="13">
        <v>209.84364185676401</v>
      </c>
      <c r="AF72" s="14">
        <v>4.6059999999999999</v>
      </c>
      <c r="AG72" s="14">
        <v>3600</v>
      </c>
      <c r="AH72" s="14">
        <v>700</v>
      </c>
      <c r="AI72" s="15" t="s">
        <v>39</v>
      </c>
      <c r="AJ72" s="16"/>
    </row>
    <row r="73" spans="1:36" x14ac:dyDescent="0.3">
      <c r="A73" s="32" t="s">
        <v>36</v>
      </c>
      <c r="B73" s="33" t="s">
        <v>48</v>
      </c>
      <c r="C73" s="32" t="s">
        <v>50</v>
      </c>
      <c r="D73" s="10">
        <v>8.8385826771653537</v>
      </c>
      <c r="E73" s="11">
        <v>80.461319999999972</v>
      </c>
      <c r="F73" s="11">
        <v>1980</v>
      </c>
      <c r="G73" s="11">
        <v>21.4</v>
      </c>
      <c r="H73" s="12">
        <v>3600</v>
      </c>
      <c r="I73" s="12">
        <v>0</v>
      </c>
      <c r="J73" s="12">
        <v>0</v>
      </c>
      <c r="K73" s="12">
        <v>0</v>
      </c>
      <c r="L73" s="12">
        <v>0</v>
      </c>
      <c r="M73" s="13">
        <v>0</v>
      </c>
      <c r="N73" s="34">
        <v>6.6985643506962962</v>
      </c>
      <c r="O73" s="34">
        <v>58.785339011917394</v>
      </c>
      <c r="P73" s="34">
        <v>100.19841153456319</v>
      </c>
      <c r="Q73" s="34">
        <v>-120.35326014203388</v>
      </c>
      <c r="R73" s="34">
        <v>71.45026070381013</v>
      </c>
      <c r="S73" s="34">
        <v>-16.778979208161275</v>
      </c>
      <c r="T73" s="12">
        <v>6.1258396755192734E-5</v>
      </c>
      <c r="U73" s="12">
        <v>708.86271523220194</v>
      </c>
      <c r="V73" s="12">
        <v>-1904.0167218865631</v>
      </c>
      <c r="W73" s="12">
        <v>2428.2425999104007</v>
      </c>
      <c r="X73" s="12">
        <v>-1511.0194721575529</v>
      </c>
      <c r="Y73" s="12">
        <v>369.89047832518861</v>
      </c>
      <c r="Z73" s="13">
        <v>-1.7855220022511276E-6</v>
      </c>
      <c r="AA73" s="13">
        <v>528.30226017407585</v>
      </c>
      <c r="AB73" s="13">
        <v>-1253.3944955269756</v>
      </c>
      <c r="AC73" s="13">
        <v>1497.5591286720326</v>
      </c>
      <c r="AD73" s="13">
        <v>-890.80805865660056</v>
      </c>
      <c r="AE73" s="13">
        <v>209.84364185676401</v>
      </c>
      <c r="AF73" s="14">
        <v>4.6059999999999999</v>
      </c>
      <c r="AG73" s="14">
        <v>3600</v>
      </c>
      <c r="AH73" s="14">
        <v>700</v>
      </c>
      <c r="AI73" s="15" t="s">
        <v>39</v>
      </c>
      <c r="AJ73" s="16"/>
    </row>
    <row r="74" spans="1:36" x14ac:dyDescent="0.3">
      <c r="A74" s="32" t="s">
        <v>36</v>
      </c>
      <c r="B74" s="33" t="s">
        <v>48</v>
      </c>
      <c r="C74" s="32" t="s">
        <v>49</v>
      </c>
      <c r="D74" s="10">
        <v>10.08530183727034</v>
      </c>
      <c r="E74" s="11">
        <v>96.553584000000001</v>
      </c>
      <c r="F74" s="11">
        <v>3000</v>
      </c>
      <c r="G74" s="11">
        <v>16.8</v>
      </c>
      <c r="H74" s="12">
        <v>3600</v>
      </c>
      <c r="I74" s="12">
        <v>0</v>
      </c>
      <c r="J74" s="12">
        <v>0</v>
      </c>
      <c r="K74" s="12">
        <v>0</v>
      </c>
      <c r="L74" s="12">
        <v>0</v>
      </c>
      <c r="M74" s="13">
        <v>0</v>
      </c>
      <c r="N74" s="34">
        <v>7.3170729057256967</v>
      </c>
      <c r="O74" s="34">
        <v>54.979804112327656</v>
      </c>
      <c r="P74" s="34">
        <v>109.4501812406847</v>
      </c>
      <c r="Q74" s="34">
        <v>-131.46601761153971</v>
      </c>
      <c r="R74" s="34">
        <v>78.047584427291014</v>
      </c>
      <c r="S74" s="34">
        <v>-18.328257776150512</v>
      </c>
      <c r="T74" s="12">
        <v>3.4266492264123372E-5</v>
      </c>
      <c r="U74" s="12">
        <v>402.93718148984192</v>
      </c>
      <c r="V74" s="12">
        <v>-487.57977846055303</v>
      </c>
      <c r="W74" s="12">
        <v>-46.510857632135732</v>
      </c>
      <c r="X74" s="12">
        <v>402.35007467443046</v>
      </c>
      <c r="Y74" s="12">
        <v>-181.02571571692377</v>
      </c>
      <c r="Z74" s="13">
        <v>5.2515358675009338E-6</v>
      </c>
      <c r="AA74" s="13">
        <v>517.00021517408652</v>
      </c>
      <c r="AB74" s="13">
        <v>-1206.021091586435</v>
      </c>
      <c r="AC74" s="13">
        <v>1421.8849156690012</v>
      </c>
      <c r="AD74" s="13">
        <v>-838.30963140104723</v>
      </c>
      <c r="AE74" s="13">
        <v>196.5383082641107</v>
      </c>
      <c r="AF74" s="14">
        <v>4.6059999999999999</v>
      </c>
      <c r="AG74" s="14">
        <v>3600</v>
      </c>
      <c r="AH74" s="14">
        <v>700</v>
      </c>
      <c r="AI74" s="15" t="s">
        <v>39</v>
      </c>
      <c r="AJ74" s="16"/>
    </row>
    <row r="75" spans="1:36" x14ac:dyDescent="0.3">
      <c r="A75" s="32" t="s">
        <v>36</v>
      </c>
      <c r="B75" s="33" t="s">
        <v>48</v>
      </c>
      <c r="C75" s="32" t="s">
        <v>50</v>
      </c>
      <c r="D75" s="10">
        <v>10.08530183727034</v>
      </c>
      <c r="E75" s="11">
        <v>96.553584000000001</v>
      </c>
      <c r="F75" s="11">
        <v>2400</v>
      </c>
      <c r="G75" s="11">
        <v>21.4</v>
      </c>
      <c r="H75" s="12">
        <v>3600</v>
      </c>
      <c r="I75" s="12">
        <v>0</v>
      </c>
      <c r="J75" s="12">
        <v>0</v>
      </c>
      <c r="K75" s="12">
        <v>0</v>
      </c>
      <c r="L75" s="12">
        <v>0</v>
      </c>
      <c r="M75" s="13">
        <v>0</v>
      </c>
      <c r="N75" s="34">
        <v>6.6985643506962962</v>
      </c>
      <c r="O75" s="34">
        <v>58.785339011917394</v>
      </c>
      <c r="P75" s="34">
        <v>100.19841153456319</v>
      </c>
      <c r="Q75" s="34">
        <v>-120.35326014203388</v>
      </c>
      <c r="R75" s="34">
        <v>71.45026070381013</v>
      </c>
      <c r="S75" s="34">
        <v>-16.778979208161275</v>
      </c>
      <c r="T75" s="12">
        <v>2.768652092299817E-5</v>
      </c>
      <c r="U75" s="12">
        <v>686.55838440667446</v>
      </c>
      <c r="V75" s="12">
        <v>-1856.7287601959176</v>
      </c>
      <c r="W75" s="12">
        <v>2425.6878094418289</v>
      </c>
      <c r="X75" s="13">
        <v>-1555.420819027639</v>
      </c>
      <c r="Y75" s="12">
        <v>391.81610273149892</v>
      </c>
      <c r="Z75" s="13">
        <v>-1.8833094181047727E-5</v>
      </c>
      <c r="AA75" s="13">
        <v>377.89807891572366</v>
      </c>
      <c r="AB75" s="13">
        <v>-541.74045316041008</v>
      </c>
      <c r="AC75" s="13">
        <v>261.31501507060432</v>
      </c>
      <c r="AD75" s="13">
        <v>46.581666634749908</v>
      </c>
      <c r="AE75" s="13">
        <v>-52.52818595896035</v>
      </c>
      <c r="AF75" s="14">
        <v>4.6059999999999999</v>
      </c>
      <c r="AG75" s="14">
        <v>3600</v>
      </c>
      <c r="AH75" s="14">
        <v>700</v>
      </c>
      <c r="AI75" s="15" t="s">
        <v>39</v>
      </c>
      <c r="AJ75" s="16"/>
    </row>
    <row r="76" spans="1:36" x14ac:dyDescent="0.3">
      <c r="A76" s="32" t="s">
        <v>36</v>
      </c>
      <c r="B76" s="33" t="s">
        <v>48</v>
      </c>
      <c r="C76" s="32" t="s">
        <v>49</v>
      </c>
      <c r="D76" s="10">
        <v>11.332020997375329</v>
      </c>
      <c r="E76" s="11">
        <v>112.645848</v>
      </c>
      <c r="F76" s="11">
        <v>2760</v>
      </c>
      <c r="G76" s="35">
        <v>21.4</v>
      </c>
      <c r="H76" s="12">
        <v>3600</v>
      </c>
      <c r="I76" s="12">
        <v>0</v>
      </c>
      <c r="J76" s="12">
        <v>0</v>
      </c>
      <c r="K76" s="12">
        <v>0</v>
      </c>
      <c r="L76" s="12">
        <v>0</v>
      </c>
      <c r="M76" s="13">
        <v>0</v>
      </c>
      <c r="N76" s="34">
        <v>7.6555021150814575</v>
      </c>
      <c r="O76" s="34">
        <v>52.897530299338761</v>
      </c>
      <c r="P76" s="34">
        <v>114.51247032519375</v>
      </c>
      <c r="Q76" s="34">
        <v>-137.54658301943084</v>
      </c>
      <c r="R76" s="34">
        <v>81.657440804327209</v>
      </c>
      <c r="S76" s="34">
        <v>-19.175976237891067</v>
      </c>
      <c r="T76" s="12">
        <v>-1.4259573212882515E-5</v>
      </c>
      <c r="U76" s="12">
        <v>565.75033548833517</v>
      </c>
      <c r="V76" s="12">
        <v>-1205.3833604721838</v>
      </c>
      <c r="W76" s="12">
        <v>1174.198683504153</v>
      </c>
      <c r="X76" s="13">
        <v>-528.32452318004573</v>
      </c>
      <c r="Y76" s="12">
        <v>85.562819428194899</v>
      </c>
      <c r="Z76" s="13">
        <v>-1.7819004938246508E-6</v>
      </c>
      <c r="AA76" s="13">
        <v>528.91753618453845</v>
      </c>
      <c r="AB76" s="13">
        <v>-1254.8903146705857</v>
      </c>
      <c r="AC76" s="13">
        <v>1499.355830912699</v>
      </c>
      <c r="AD76" s="13">
        <v>-891.87470897708624</v>
      </c>
      <c r="AE76" s="13">
        <v>210.09412804636517</v>
      </c>
      <c r="AF76" s="14">
        <v>4.6059999999999999</v>
      </c>
      <c r="AG76" s="14">
        <v>3600</v>
      </c>
      <c r="AH76" s="14">
        <v>700</v>
      </c>
      <c r="AI76" s="15" t="s">
        <v>39</v>
      </c>
      <c r="AJ76" s="16"/>
    </row>
    <row r="77" spans="1:36" x14ac:dyDescent="0.3">
      <c r="A77" s="32" t="s">
        <v>36</v>
      </c>
      <c r="B77" s="33" t="s">
        <v>48</v>
      </c>
      <c r="C77" s="32" t="s">
        <v>50</v>
      </c>
      <c r="D77" s="10">
        <v>11.332020997375329</v>
      </c>
      <c r="E77" s="11">
        <v>112.645848</v>
      </c>
      <c r="F77" s="11">
        <v>2280</v>
      </c>
      <c r="G77" s="11">
        <v>26.3</v>
      </c>
      <c r="H77" s="12">
        <v>3600</v>
      </c>
      <c r="I77" s="12">
        <v>0</v>
      </c>
      <c r="J77" s="12">
        <v>0</v>
      </c>
      <c r="K77" s="12">
        <v>0</v>
      </c>
      <c r="L77" s="12">
        <v>0</v>
      </c>
      <c r="M77" s="13">
        <v>0</v>
      </c>
      <c r="N77" s="34">
        <v>5.468749801935604</v>
      </c>
      <c r="O77" s="34">
        <v>66.352093177696432</v>
      </c>
      <c r="P77" s="34">
        <v>81.802609416897965</v>
      </c>
      <c r="Q77" s="34">
        <v>-98.257153787847102</v>
      </c>
      <c r="R77" s="34">
        <v>58.332439402731261</v>
      </c>
      <c r="S77" s="34">
        <v>-13.698463494166113</v>
      </c>
      <c r="T77" s="12">
        <v>-3.0307401559070968E-5</v>
      </c>
      <c r="U77" s="12">
        <v>581.43981548386148</v>
      </c>
      <c r="V77" s="12">
        <v>-1303.7481152107587</v>
      </c>
      <c r="W77" s="12">
        <v>1378.3660426011943</v>
      </c>
      <c r="X77" s="12">
        <v>-701.44396721224757</v>
      </c>
      <c r="Y77" s="12">
        <v>137.10182652631093</v>
      </c>
      <c r="Z77" s="13">
        <v>-2.6945812408030179E-6</v>
      </c>
      <c r="AA77" s="13">
        <v>536.56798154737953</v>
      </c>
      <c r="AB77" s="13">
        <v>-1294.6105571442697</v>
      </c>
      <c r="AC77" s="13">
        <v>1575.7535329251214</v>
      </c>
      <c r="AD77" s="13">
        <v>-956.4121615427581</v>
      </c>
      <c r="AE77" s="13">
        <v>230.30494159861749</v>
      </c>
      <c r="AF77" s="14">
        <v>4.6059999999999999</v>
      </c>
      <c r="AG77" s="14">
        <v>3600</v>
      </c>
      <c r="AH77" s="14">
        <v>700</v>
      </c>
      <c r="AI77" s="15" t="s">
        <v>39</v>
      </c>
      <c r="AJ77" s="16"/>
    </row>
    <row r="78" spans="1:36" x14ac:dyDescent="0.3">
      <c r="A78" s="32" t="s">
        <v>36</v>
      </c>
      <c r="B78" s="33" t="s">
        <v>48</v>
      </c>
      <c r="C78" s="32" t="s">
        <v>49</v>
      </c>
      <c r="D78" s="10">
        <v>12.578740157480315</v>
      </c>
      <c r="E78" s="11">
        <v>128.738112</v>
      </c>
      <c r="F78" s="11">
        <v>2880</v>
      </c>
      <c r="G78" s="11">
        <v>23.7</v>
      </c>
      <c r="H78" s="12">
        <v>3600</v>
      </c>
      <c r="I78" s="12">
        <v>0</v>
      </c>
      <c r="J78" s="12">
        <v>0</v>
      </c>
      <c r="K78" s="12">
        <v>0</v>
      </c>
      <c r="L78" s="12">
        <v>0</v>
      </c>
      <c r="M78" s="13">
        <v>0</v>
      </c>
      <c r="N78" s="34">
        <v>6.4935062583280239</v>
      </c>
      <c r="O78" s="34">
        <v>60.047012307478163</v>
      </c>
      <c r="P78" s="34">
        <v>97.131113222246839</v>
      </c>
      <c r="Q78" s="34">
        <v>-116.66897666823972</v>
      </c>
      <c r="R78" s="34">
        <v>69.263007825077892</v>
      </c>
      <c r="S78" s="34">
        <v>-16.26533698749094</v>
      </c>
      <c r="T78" s="12">
        <v>3.5212491610536745E-5</v>
      </c>
      <c r="U78" s="12">
        <v>635.02340082603428</v>
      </c>
      <c r="V78" s="12">
        <v>-1594.5114995381675</v>
      </c>
      <c r="W78" s="12">
        <v>1939.8287272291627</v>
      </c>
      <c r="X78" s="12">
        <v>-1168.8257321236256</v>
      </c>
      <c r="Y78" s="12">
        <v>280.16906189419313</v>
      </c>
      <c r="Z78" s="13">
        <v>-2.4265726494832052E-7</v>
      </c>
      <c r="AA78" s="13">
        <v>495.8431739654722</v>
      </c>
      <c r="AB78" s="13">
        <v>-1097.2801173770586</v>
      </c>
      <c r="AC78" s="13">
        <v>1221.287616539995</v>
      </c>
      <c r="AD78" s="13">
        <v>-678.53442852579997</v>
      </c>
      <c r="AE78" s="13">
        <v>149.88409196289422</v>
      </c>
      <c r="AF78" s="14">
        <v>4.6059999999999999</v>
      </c>
      <c r="AG78" s="14">
        <v>3600</v>
      </c>
      <c r="AH78" s="14">
        <v>700</v>
      </c>
      <c r="AI78" s="15" t="s">
        <v>39</v>
      </c>
      <c r="AJ78" s="16"/>
    </row>
    <row r="79" spans="1:36" x14ac:dyDescent="0.3">
      <c r="A79" s="32" t="s">
        <v>36</v>
      </c>
      <c r="B79" s="33" t="s">
        <v>48</v>
      </c>
      <c r="C79" s="32" t="s">
        <v>50</v>
      </c>
      <c r="D79" s="10">
        <v>12.578740157480315</v>
      </c>
      <c r="E79" s="11">
        <v>128.738112</v>
      </c>
      <c r="F79" s="11">
        <v>2280</v>
      </c>
      <c r="G79" s="11">
        <v>29.5</v>
      </c>
      <c r="H79" s="12">
        <v>3600</v>
      </c>
      <c r="I79" s="12">
        <v>0</v>
      </c>
      <c r="J79" s="12">
        <v>0</v>
      </c>
      <c r="K79" s="12">
        <v>0</v>
      </c>
      <c r="L79" s="12">
        <v>0</v>
      </c>
      <c r="M79" s="13">
        <v>0</v>
      </c>
      <c r="N79" s="34">
        <v>6.5972219832874028</v>
      </c>
      <c r="O79" s="34">
        <v>59.408874309611107</v>
      </c>
      <c r="P79" s="34">
        <v>98.682512947326558</v>
      </c>
      <c r="Q79" s="34">
        <v>-118.53243949002793</v>
      </c>
      <c r="R79" s="34">
        <v>70.369291977842337</v>
      </c>
      <c r="S79" s="34">
        <v>-16.525130564375178</v>
      </c>
      <c r="T79" s="12">
        <v>5.2728990539208098E-5</v>
      </c>
      <c r="U79" s="12">
        <v>717.22020521341346</v>
      </c>
      <c r="V79" s="12">
        <v>-1920.5127349994598</v>
      </c>
      <c r="W79" s="12">
        <v>2408.5049943927274</v>
      </c>
      <c r="X79" s="12">
        <v>-1454.2823026914041</v>
      </c>
      <c r="Y79" s="12">
        <v>341.14510263856539</v>
      </c>
      <c r="Z79" s="13">
        <v>-6.6278002464059682E-7</v>
      </c>
      <c r="AA79" s="13">
        <v>464.80449008488421</v>
      </c>
      <c r="AB79" s="13">
        <v>-968.76509671683675</v>
      </c>
      <c r="AC79" s="13">
        <v>1029.5368232865201</v>
      </c>
      <c r="AD79" s="13">
        <v>-554.80299134708366</v>
      </c>
      <c r="AE79" s="13">
        <v>120.82769396844152</v>
      </c>
      <c r="AF79" s="14">
        <v>4.6059999999999999</v>
      </c>
      <c r="AG79" s="14">
        <v>3600</v>
      </c>
      <c r="AH79" s="14">
        <v>700</v>
      </c>
      <c r="AI79" s="15" t="s">
        <v>39</v>
      </c>
      <c r="AJ79" s="16"/>
    </row>
    <row r="80" spans="1:36" x14ac:dyDescent="0.3">
      <c r="A80" s="32" t="s">
        <v>36</v>
      </c>
      <c r="B80" s="33" t="s">
        <v>48</v>
      </c>
      <c r="C80" s="32" t="s">
        <v>49</v>
      </c>
      <c r="D80" s="10">
        <v>13.825459317585302</v>
      </c>
      <c r="E80" s="11">
        <v>144.830376</v>
      </c>
      <c r="F80" s="11">
        <v>2520</v>
      </c>
      <c r="G80" s="11">
        <v>28.8</v>
      </c>
      <c r="H80" s="12">
        <v>3600</v>
      </c>
      <c r="I80" s="12">
        <v>0</v>
      </c>
      <c r="J80" s="12">
        <v>0</v>
      </c>
      <c r="K80" s="12">
        <v>0</v>
      </c>
      <c r="L80" s="12">
        <v>0</v>
      </c>
      <c r="M80" s="13">
        <v>0</v>
      </c>
      <c r="N80" s="34">
        <v>6.5972219832874028</v>
      </c>
      <c r="O80" s="34">
        <v>59.408874309611107</v>
      </c>
      <c r="P80" s="34">
        <v>98.682512947326558</v>
      </c>
      <c r="Q80" s="34">
        <v>-118.53243949002793</v>
      </c>
      <c r="R80" s="34">
        <v>70.369291977842337</v>
      </c>
      <c r="S80" s="34">
        <v>-16.525130564375178</v>
      </c>
      <c r="T80" s="12">
        <v>2.2330497529310378E-5</v>
      </c>
      <c r="U80" s="12">
        <v>765.96025307241143</v>
      </c>
      <c r="V80" s="12">
        <v>-2218.193237803941</v>
      </c>
      <c r="W80" s="12">
        <v>3040.412519627484</v>
      </c>
      <c r="X80" s="12">
        <v>-2018.0567948597659</v>
      </c>
      <c r="Y80" s="12">
        <v>521.78666563601701</v>
      </c>
      <c r="Z80" s="13">
        <v>7.7034600494130245E-6</v>
      </c>
      <c r="AA80" s="13">
        <v>477.27540759218527</v>
      </c>
      <c r="AB80" s="13">
        <v>-1008.6906518192535</v>
      </c>
      <c r="AC80" s="13">
        <v>1067.4189992839267</v>
      </c>
      <c r="AD80" s="13">
        <v>-560.4318983841282</v>
      </c>
      <c r="AE80" s="13">
        <v>116.11745862839804</v>
      </c>
      <c r="AF80" s="14">
        <v>4.6059999999999999</v>
      </c>
      <c r="AG80" s="14">
        <v>3600</v>
      </c>
      <c r="AH80" s="14">
        <v>700</v>
      </c>
      <c r="AI80" s="15" t="s">
        <v>39</v>
      </c>
      <c r="AJ80" s="16"/>
    </row>
    <row r="81" spans="1:36" x14ac:dyDescent="0.3">
      <c r="A81" s="32" t="s">
        <v>36</v>
      </c>
      <c r="B81" s="33" t="s">
        <v>48</v>
      </c>
      <c r="C81" s="32" t="s">
        <v>50</v>
      </c>
      <c r="D81" s="10">
        <v>13.825459317585302</v>
      </c>
      <c r="E81" s="11">
        <v>144.830376</v>
      </c>
      <c r="F81" s="11">
        <v>1920</v>
      </c>
      <c r="G81" s="11">
        <v>38.6</v>
      </c>
      <c r="H81" s="12">
        <v>3600</v>
      </c>
      <c r="I81" s="12">
        <v>0</v>
      </c>
      <c r="J81" s="12">
        <v>0</v>
      </c>
      <c r="K81" s="12">
        <v>0</v>
      </c>
      <c r="L81" s="12">
        <v>0</v>
      </c>
      <c r="M81" s="13">
        <v>0</v>
      </c>
      <c r="N81" s="34">
        <v>6.4766837032546292</v>
      </c>
      <c r="O81" s="34">
        <v>60.150517456939269</v>
      </c>
      <c r="P81" s="34">
        <v>96.879478213905529</v>
      </c>
      <c r="Q81" s="34">
        <v>-116.36672543335865</v>
      </c>
      <c r="R81" s="34">
        <v>69.083569980979178</v>
      </c>
      <c r="S81" s="34">
        <v>-16.223198808768906</v>
      </c>
      <c r="T81" s="12">
        <v>-5.2355969586415085E-5</v>
      </c>
      <c r="U81" s="12">
        <v>632.27219301230343</v>
      </c>
      <c r="V81" s="12">
        <v>-1521.8722150017982</v>
      </c>
      <c r="W81" s="12">
        <v>1728.6697407209044</v>
      </c>
      <c r="X81" s="12">
        <v>-952.63595129921157</v>
      </c>
      <c r="Y81" s="12">
        <v>205.48884193132926</v>
      </c>
      <c r="Z81" s="13">
        <v>1.5432272192583696E-5</v>
      </c>
      <c r="AA81" s="13">
        <v>533.85774725765066</v>
      </c>
      <c r="AB81" s="13">
        <v>-1287.0187043106541</v>
      </c>
      <c r="AC81" s="13">
        <v>1572.4149142529025</v>
      </c>
      <c r="AD81" s="13">
        <v>-961.66368234529716</v>
      </c>
      <c r="AE81" s="13">
        <v>233.98832058409496</v>
      </c>
      <c r="AF81" s="14">
        <v>4.6059999999999999</v>
      </c>
      <c r="AG81" s="14">
        <v>3600</v>
      </c>
      <c r="AH81" s="14">
        <v>700</v>
      </c>
      <c r="AI81" s="15" t="s">
        <v>39</v>
      </c>
      <c r="AJ81" s="16"/>
    </row>
    <row r="82" spans="1:36" x14ac:dyDescent="0.3">
      <c r="A82" s="32" t="s">
        <v>36</v>
      </c>
      <c r="B82" s="33" t="s">
        <v>48</v>
      </c>
      <c r="C82" s="32" t="s">
        <v>49</v>
      </c>
      <c r="D82" s="10">
        <v>15.072178477690288</v>
      </c>
      <c r="E82" s="11">
        <v>160.92263999999994</v>
      </c>
      <c r="F82" s="11">
        <v>2880</v>
      </c>
      <c r="G82" s="11">
        <v>29.6</v>
      </c>
      <c r="H82" s="12">
        <v>3600</v>
      </c>
      <c r="I82" s="12">
        <v>0</v>
      </c>
      <c r="J82" s="12">
        <v>0</v>
      </c>
      <c r="K82" s="12">
        <v>0</v>
      </c>
      <c r="L82" s="12">
        <v>0</v>
      </c>
      <c r="M82" s="13">
        <v>0</v>
      </c>
      <c r="N82" s="34">
        <v>6.5743942255597965</v>
      </c>
      <c r="O82" s="34">
        <v>59.549328031721629</v>
      </c>
      <c r="P82" s="34">
        <v>98.341050964816077</v>
      </c>
      <c r="Q82" s="34">
        <v>-118.12229264059123</v>
      </c>
      <c r="R82" s="34">
        <v>70.125799618064349</v>
      </c>
      <c r="S82" s="34">
        <v>-16.467950181801346</v>
      </c>
      <c r="T82" s="12">
        <v>-1.9649065094995422E-5</v>
      </c>
      <c r="U82" s="12">
        <v>590.88381291895723</v>
      </c>
      <c r="V82" s="12">
        <v>-1315.1398826349352</v>
      </c>
      <c r="W82" s="12">
        <v>1345.1599392393121</v>
      </c>
      <c r="X82" s="12">
        <v>-639.06019764183463</v>
      </c>
      <c r="Y82" s="12">
        <v>110.1065091222832</v>
      </c>
      <c r="Z82" s="13">
        <v>7.7034600494130245E-6</v>
      </c>
      <c r="AA82" s="13">
        <v>477.27540759218527</v>
      </c>
      <c r="AB82" s="13">
        <v>-1008.6906518192535</v>
      </c>
      <c r="AC82" s="13">
        <v>1067.4189992839267</v>
      </c>
      <c r="AD82" s="13">
        <v>-560.4318983841282</v>
      </c>
      <c r="AE82" s="13">
        <v>116.11745862839804</v>
      </c>
      <c r="AF82" s="14">
        <v>4.6059999999999999</v>
      </c>
      <c r="AG82" s="14">
        <v>3600</v>
      </c>
      <c r="AH82" s="14">
        <v>700</v>
      </c>
      <c r="AI82" s="15" t="s">
        <v>39</v>
      </c>
      <c r="AJ82" s="16"/>
    </row>
    <row r="83" spans="1:36" x14ac:dyDescent="0.3">
      <c r="A83" s="32" t="s">
        <v>36</v>
      </c>
      <c r="B83" s="33" t="s">
        <v>48</v>
      </c>
      <c r="C83" s="32" t="s">
        <v>50</v>
      </c>
      <c r="D83" s="10">
        <v>15.072178477690288</v>
      </c>
      <c r="E83" s="11">
        <v>160.92263999999994</v>
      </c>
      <c r="F83" s="11">
        <v>2160</v>
      </c>
      <c r="G83" s="11">
        <v>39.700000000000003</v>
      </c>
      <c r="H83" s="12">
        <v>3600</v>
      </c>
      <c r="I83" s="12">
        <v>0</v>
      </c>
      <c r="J83" s="12">
        <v>0</v>
      </c>
      <c r="K83" s="12">
        <v>0</v>
      </c>
      <c r="L83" s="12">
        <v>0</v>
      </c>
      <c r="M83" s="13">
        <v>0</v>
      </c>
      <c r="N83" s="34">
        <v>6.4599480864503445</v>
      </c>
      <c r="O83" s="34">
        <v>60.253487696066344</v>
      </c>
      <c r="P83" s="34">
        <v>96.629143644887591</v>
      </c>
      <c r="Q83" s="34">
        <v>-116.06603622036981</v>
      </c>
      <c r="R83" s="34">
        <v>68.905059464245312</v>
      </c>
      <c r="S83" s="34">
        <v>-16.181278398413873</v>
      </c>
      <c r="T83" s="12">
        <v>-3.0551832026048942E-5</v>
      </c>
      <c r="U83" s="12">
        <v>645.78701889311583</v>
      </c>
      <c r="V83" s="12">
        <v>-1559.8198742085142</v>
      </c>
      <c r="W83" s="12">
        <v>1741.9766810850467</v>
      </c>
      <c r="X83" s="12">
        <v>-918.06377881424476</v>
      </c>
      <c r="Y83" s="12">
        <v>182.17754817622779</v>
      </c>
      <c r="Z83" s="13">
        <v>9.8547785967184609E-6</v>
      </c>
      <c r="AA83" s="13">
        <v>549.49935780833255</v>
      </c>
      <c r="AB83" s="13">
        <v>-1363.4572231312343</v>
      </c>
      <c r="AC83" s="13">
        <v>1709.6601302545778</v>
      </c>
      <c r="AD83" s="13">
        <v>-1069.0221887650046</v>
      </c>
      <c r="AE83" s="13">
        <v>264.90625525522381</v>
      </c>
      <c r="AF83" s="14">
        <v>4.6059999999999999</v>
      </c>
      <c r="AG83" s="14">
        <v>3600</v>
      </c>
      <c r="AH83" s="14">
        <v>700</v>
      </c>
      <c r="AI83" s="15" t="s">
        <v>39</v>
      </c>
      <c r="AJ83" s="16"/>
    </row>
    <row r="84" spans="1:36" x14ac:dyDescent="0.3">
      <c r="A84" s="32" t="s">
        <v>36</v>
      </c>
      <c r="B84" s="33" t="s">
        <v>48</v>
      </c>
      <c r="C84" s="32" t="s">
        <v>49</v>
      </c>
      <c r="D84" s="10">
        <v>16.318897637795274</v>
      </c>
      <c r="E84" s="11">
        <v>177.014904</v>
      </c>
      <c r="F84" s="11">
        <v>3000</v>
      </c>
      <c r="G84" s="11">
        <v>29.1</v>
      </c>
      <c r="H84" s="12">
        <v>3600</v>
      </c>
      <c r="I84" s="12">
        <v>0</v>
      </c>
      <c r="J84" s="12">
        <v>0</v>
      </c>
      <c r="K84" s="12">
        <v>0</v>
      </c>
      <c r="L84" s="12">
        <v>0</v>
      </c>
      <c r="M84" s="13">
        <v>0</v>
      </c>
      <c r="N84" s="34">
        <v>6.5292093855215469</v>
      </c>
      <c r="O84" s="34">
        <v>59.827339522913732</v>
      </c>
      <c r="P84" s="34">
        <v>97.665167453025049</v>
      </c>
      <c r="Q84" s="34">
        <v>-117.31045557776012</v>
      </c>
      <c r="R84" s="34">
        <v>69.643835359514028</v>
      </c>
      <c r="S84" s="34">
        <v>-16.354768393608335</v>
      </c>
      <c r="T84" s="12">
        <v>-3.8756114363991401E-5</v>
      </c>
      <c r="U84" s="12">
        <v>482.74189169898926</v>
      </c>
      <c r="V84" s="12">
        <v>-769.90340541070293</v>
      </c>
      <c r="W84" s="12">
        <v>346.52561673386441</v>
      </c>
      <c r="X84" s="12">
        <v>156.07339659891397</v>
      </c>
      <c r="Y84" s="12">
        <v>-122.57586506787713</v>
      </c>
      <c r="Z84" s="13">
        <v>3.5927748598396647E-6</v>
      </c>
      <c r="AA84" s="13">
        <v>498.4871357144894</v>
      </c>
      <c r="AB84" s="13">
        <v>-1117.1859238071263</v>
      </c>
      <c r="AC84" s="13">
        <v>1269.8286227656477</v>
      </c>
      <c r="AD84" s="13">
        <v>-724.7837846090207</v>
      </c>
      <c r="AE84" s="13">
        <v>165.14896675722278</v>
      </c>
      <c r="AF84" s="14">
        <v>4.6059999999999999</v>
      </c>
      <c r="AG84" s="14">
        <v>3600</v>
      </c>
      <c r="AH84" s="14">
        <v>700</v>
      </c>
      <c r="AI84" s="15" t="s">
        <v>39</v>
      </c>
      <c r="AJ84" s="16"/>
    </row>
    <row r="85" spans="1:36" x14ac:dyDescent="0.3">
      <c r="A85" s="32" t="s">
        <v>36</v>
      </c>
      <c r="B85" s="33" t="s">
        <v>48</v>
      </c>
      <c r="C85" s="32" t="s">
        <v>50</v>
      </c>
      <c r="D85" s="10">
        <v>16.318897637795274</v>
      </c>
      <c r="E85" s="11">
        <v>177.014904</v>
      </c>
      <c r="F85" s="11">
        <v>2280</v>
      </c>
      <c r="G85" s="11">
        <v>39.200000000000003</v>
      </c>
      <c r="H85" s="12">
        <v>3600</v>
      </c>
      <c r="I85" s="12">
        <v>0</v>
      </c>
      <c r="J85" s="12">
        <v>0</v>
      </c>
      <c r="K85" s="12">
        <v>0</v>
      </c>
      <c r="L85" s="12">
        <v>0</v>
      </c>
      <c r="M85" s="13">
        <v>0</v>
      </c>
      <c r="N85" s="34">
        <v>6.4102561780930252</v>
      </c>
      <c r="O85" s="34">
        <v>60.559230098399986</v>
      </c>
      <c r="P85" s="34">
        <v>95.885842539947902</v>
      </c>
      <c r="Q85" s="34">
        <v>-115.17322055717338</v>
      </c>
      <c r="R85" s="34">
        <v>68.375020545318236</v>
      </c>
      <c r="S85" s="34">
        <v>-16.056807026126521</v>
      </c>
      <c r="T85" s="12">
        <v>1.9969464119640179E-5</v>
      </c>
      <c r="U85" s="12">
        <v>781.02849160151084</v>
      </c>
      <c r="V85" s="12">
        <v>-2273.2354080152536</v>
      </c>
      <c r="W85" s="12">
        <v>3119.6929626186488</v>
      </c>
      <c r="X85" s="12">
        <v>-2069.1690244903202</v>
      </c>
      <c r="Y85" s="12">
        <v>534.04497722589247</v>
      </c>
      <c r="Z85" s="13">
        <v>1.4878144483532196E-5</v>
      </c>
      <c r="AA85" s="13">
        <v>520.6371843231816</v>
      </c>
      <c r="AB85" s="13">
        <v>-1215.2417086696566</v>
      </c>
      <c r="AC85" s="13">
        <v>1430.8528047604054</v>
      </c>
      <c r="AD85" s="13">
        <v>-840.1328499744227</v>
      </c>
      <c r="AE85" s="13">
        <v>195.66393357414336</v>
      </c>
      <c r="AF85" s="14">
        <v>4.6059999999999999</v>
      </c>
      <c r="AG85" s="14">
        <v>3600</v>
      </c>
      <c r="AH85" s="14">
        <v>700</v>
      </c>
      <c r="AI85" s="15" t="s">
        <v>39</v>
      </c>
      <c r="AJ85" s="16"/>
    </row>
    <row r="86" spans="1:36" x14ac:dyDescent="0.3">
      <c r="A86" s="32" t="s">
        <v>36</v>
      </c>
      <c r="B86" s="33" t="s">
        <v>48</v>
      </c>
      <c r="C86" s="32" t="s">
        <v>51</v>
      </c>
      <c r="D86" s="10">
        <v>17.565616797900262</v>
      </c>
      <c r="E86" s="11">
        <v>193.107168</v>
      </c>
      <c r="F86" s="11">
        <v>2520</v>
      </c>
      <c r="G86" s="11">
        <v>39</v>
      </c>
      <c r="H86" s="12">
        <v>3600</v>
      </c>
      <c r="I86" s="12">
        <v>0</v>
      </c>
      <c r="J86" s="12">
        <v>0</v>
      </c>
      <c r="K86" s="12">
        <v>0</v>
      </c>
      <c r="L86" s="12">
        <v>0</v>
      </c>
      <c r="M86" s="13">
        <v>0</v>
      </c>
      <c r="N86" s="34">
        <v>6.4102561780930252</v>
      </c>
      <c r="O86" s="34">
        <v>60.559230098399986</v>
      </c>
      <c r="P86" s="34">
        <v>95.885842539947902</v>
      </c>
      <c r="Q86" s="34">
        <v>-115.17322055717338</v>
      </c>
      <c r="R86" s="34">
        <v>68.375020545318236</v>
      </c>
      <c r="S86" s="34">
        <v>-16.056807026126521</v>
      </c>
      <c r="T86" s="12">
        <v>9.9276482501409191E-6</v>
      </c>
      <c r="U86" s="12">
        <v>649.4259657819141</v>
      </c>
      <c r="V86" s="12">
        <v>-1621.5223357036039</v>
      </c>
      <c r="W86" s="12">
        <v>1934.1307022448402</v>
      </c>
      <c r="X86" s="12">
        <v>-1129.5944433039685</v>
      </c>
      <c r="Y86" s="12">
        <v>259.89726495179997</v>
      </c>
      <c r="Z86" s="13">
        <v>-2.6945812408030179E-6</v>
      </c>
      <c r="AA86" s="13">
        <v>536.56798154737953</v>
      </c>
      <c r="AB86" s="13">
        <v>-1294.6105571442697</v>
      </c>
      <c r="AC86" s="13">
        <v>1575.7535329251214</v>
      </c>
      <c r="AD86" s="13">
        <v>-956.4121615427581</v>
      </c>
      <c r="AE86" s="13">
        <v>230.30494159861749</v>
      </c>
      <c r="AF86" s="14">
        <v>4.6059999999999999</v>
      </c>
      <c r="AG86" s="14">
        <v>3600</v>
      </c>
      <c r="AH86" s="14">
        <v>700</v>
      </c>
      <c r="AI86" s="15" t="s">
        <v>39</v>
      </c>
      <c r="AJ86" s="16"/>
    </row>
    <row r="87" spans="1:36" x14ac:dyDescent="0.3">
      <c r="A87" s="32" t="s">
        <v>36</v>
      </c>
      <c r="B87" s="33" t="s">
        <v>48</v>
      </c>
      <c r="C87" s="32" t="s">
        <v>51</v>
      </c>
      <c r="D87" s="10">
        <v>18.812335958005249</v>
      </c>
      <c r="E87" s="11">
        <v>209.199432</v>
      </c>
      <c r="F87" s="11">
        <v>2760</v>
      </c>
      <c r="G87" s="11">
        <v>39</v>
      </c>
      <c r="H87" s="12">
        <v>3600</v>
      </c>
      <c r="I87" s="12">
        <v>0</v>
      </c>
      <c r="J87" s="12">
        <v>0</v>
      </c>
      <c r="K87" s="12">
        <v>0</v>
      </c>
      <c r="L87" s="12">
        <v>0</v>
      </c>
      <c r="M87" s="13">
        <v>0</v>
      </c>
      <c r="N87" s="34">
        <v>6.4102561780930252</v>
      </c>
      <c r="O87" s="34">
        <v>60.559230098399986</v>
      </c>
      <c r="P87" s="34">
        <v>95.885842539947902</v>
      </c>
      <c r="Q87" s="34">
        <v>-115.17322055717338</v>
      </c>
      <c r="R87" s="34">
        <v>68.375020545318236</v>
      </c>
      <c r="S87" s="34">
        <v>-16.056807026126521</v>
      </c>
      <c r="T87" s="12">
        <v>3.1934192179505771E-7</v>
      </c>
      <c r="U87" s="12">
        <v>699.60303021867821</v>
      </c>
      <c r="V87" s="12">
        <v>-1866.3616334852125</v>
      </c>
      <c r="W87" s="12">
        <v>2369.1265357606103</v>
      </c>
      <c r="X87" s="12">
        <v>-1465.5062038909066</v>
      </c>
      <c r="Y87" s="12">
        <v>355.49052477817429</v>
      </c>
      <c r="Z87" s="13">
        <v>6.7944008605991257E-6</v>
      </c>
      <c r="AA87" s="13">
        <v>485.54112896548986</v>
      </c>
      <c r="AB87" s="13">
        <v>-1049.9067134365532</v>
      </c>
      <c r="AC87" s="13">
        <v>1145.6134035370276</v>
      </c>
      <c r="AD87" s="13">
        <v>-626.03600127029699</v>
      </c>
      <c r="AE87" s="13">
        <v>136.5787583702552</v>
      </c>
      <c r="AF87" s="14">
        <v>4.6059999999999999</v>
      </c>
      <c r="AG87" s="14">
        <v>3600</v>
      </c>
      <c r="AH87" s="14">
        <v>700</v>
      </c>
      <c r="AI87" s="15" t="s">
        <v>39</v>
      </c>
      <c r="AJ87" s="16"/>
    </row>
    <row r="88" spans="1:36" x14ac:dyDescent="0.3">
      <c r="A88" s="32" t="s">
        <v>36</v>
      </c>
      <c r="B88" s="33" t="s">
        <v>48</v>
      </c>
      <c r="C88" s="32" t="s">
        <v>49</v>
      </c>
      <c r="D88" s="10">
        <v>20.059055118110233</v>
      </c>
      <c r="E88" s="11">
        <v>241.38396</v>
      </c>
      <c r="F88" s="11">
        <v>2940</v>
      </c>
      <c r="G88" s="11">
        <v>43.3</v>
      </c>
      <c r="H88" s="12">
        <v>3600</v>
      </c>
      <c r="I88" s="12">
        <v>0</v>
      </c>
      <c r="J88" s="12">
        <v>0</v>
      </c>
      <c r="K88" s="12">
        <v>0</v>
      </c>
      <c r="L88" s="12">
        <v>0</v>
      </c>
      <c r="M88" s="13">
        <v>0</v>
      </c>
      <c r="N88" s="34">
        <v>5.9101652705822234</v>
      </c>
      <c r="O88" s="34">
        <v>63.636169594277241</v>
      </c>
      <c r="P88" s="34">
        <v>88.405386738921976</v>
      </c>
      <c r="Q88" s="34">
        <v>-106.18807569094574</v>
      </c>
      <c r="R88" s="34">
        <v>63.04079908428583</v>
      </c>
      <c r="S88" s="34">
        <v>-14.804148321946339</v>
      </c>
      <c r="T88" s="12">
        <v>1.5677879332542943E-6</v>
      </c>
      <c r="U88" s="12">
        <v>693.75949835535368</v>
      </c>
      <c r="V88" s="12">
        <v>-1866.1476207022267</v>
      </c>
      <c r="W88" s="12">
        <v>2398.2517277697198</v>
      </c>
      <c r="X88" s="12">
        <v>-1501.0354866620805</v>
      </c>
      <c r="Y88" s="12">
        <v>367.32753185408433</v>
      </c>
      <c r="Z88" s="13">
        <v>-2.2092675067142409E-7</v>
      </c>
      <c r="AA88" s="13">
        <v>499.53483002825658</v>
      </c>
      <c r="AB88" s="13">
        <v>-1106.2550322387722</v>
      </c>
      <c r="AC88" s="13">
        <v>1232.0678299841011</v>
      </c>
      <c r="AD88" s="13">
        <v>-684.93433044880658</v>
      </c>
      <c r="AE88" s="13">
        <v>151.38700910052967</v>
      </c>
      <c r="AF88" s="14">
        <v>4.6059999999999999</v>
      </c>
      <c r="AG88" s="14">
        <v>3600</v>
      </c>
      <c r="AH88" s="14">
        <v>700</v>
      </c>
      <c r="AI88" s="15" t="s">
        <v>39</v>
      </c>
      <c r="AJ88" s="16"/>
    </row>
    <row r="89" spans="1:36" x14ac:dyDescent="0.3">
      <c r="A89" s="32" t="s">
        <v>36</v>
      </c>
      <c r="B89" s="33" t="s">
        <v>48</v>
      </c>
      <c r="C89" s="32" t="s">
        <v>50</v>
      </c>
      <c r="D89" s="10">
        <v>20.059055118110233</v>
      </c>
      <c r="E89" s="11">
        <v>241.38396</v>
      </c>
      <c r="F89" s="11">
        <v>2400</v>
      </c>
      <c r="G89" s="11">
        <v>55.3</v>
      </c>
      <c r="H89" s="12">
        <v>3600</v>
      </c>
      <c r="I89" s="12">
        <v>0</v>
      </c>
      <c r="J89" s="12">
        <v>0</v>
      </c>
      <c r="K89" s="12">
        <v>0</v>
      </c>
      <c r="L89" s="12">
        <v>0</v>
      </c>
      <c r="M89" s="13">
        <v>0</v>
      </c>
      <c r="N89" s="34">
        <v>5.9171595490089395</v>
      </c>
      <c r="O89" s="34">
        <v>63.593135475450993</v>
      </c>
      <c r="P89" s="34">
        <v>88.510008498390491</v>
      </c>
      <c r="Q89" s="34">
        <v>-106.31374205273521</v>
      </c>
      <c r="R89" s="34">
        <v>63.115403580262885</v>
      </c>
      <c r="S89" s="34">
        <v>-14.82166802410803</v>
      </c>
      <c r="T89" s="12">
        <v>-1.375382549895221E-5</v>
      </c>
      <c r="U89" s="12">
        <v>619.28709182337161</v>
      </c>
      <c r="V89" s="12">
        <v>-1499.0018190837034</v>
      </c>
      <c r="W89" s="12">
        <v>1739.5946970490561</v>
      </c>
      <c r="X89" s="12">
        <v>-988.7384325906022</v>
      </c>
      <c r="Y89" s="12">
        <v>220.89193786975287</v>
      </c>
      <c r="Z89" s="13">
        <v>5.5630061694955657E-6</v>
      </c>
      <c r="AA89" s="13">
        <v>591.69728540737935</v>
      </c>
      <c r="AB89" s="13">
        <v>-1526.7448712712369</v>
      </c>
      <c r="AC89" s="13">
        <v>1947.2346417016233</v>
      </c>
      <c r="AD89" s="13">
        <v>-1221.7082256311503</v>
      </c>
      <c r="AE89" s="13">
        <v>301.41345390364938</v>
      </c>
      <c r="AF89" s="14">
        <v>4.6059999999999999</v>
      </c>
      <c r="AG89" s="14">
        <v>3600</v>
      </c>
      <c r="AH89" s="14">
        <v>700</v>
      </c>
      <c r="AI89" s="15" t="s">
        <v>39</v>
      </c>
      <c r="AJ89" s="16"/>
    </row>
    <row r="90" spans="1:36" x14ac:dyDescent="0.3">
      <c r="A90" s="32" t="s">
        <v>36</v>
      </c>
      <c r="B90" s="33" t="s">
        <v>48</v>
      </c>
      <c r="C90" s="32" t="s">
        <v>51</v>
      </c>
      <c r="D90" s="10">
        <v>22.552493438320209</v>
      </c>
      <c r="E90" s="11">
        <v>281.61462</v>
      </c>
      <c r="F90" s="11">
        <v>2760</v>
      </c>
      <c r="G90" s="11">
        <v>52.2</v>
      </c>
      <c r="H90" s="12">
        <v>3600</v>
      </c>
      <c r="I90" s="12">
        <v>0</v>
      </c>
      <c r="J90" s="12">
        <v>0</v>
      </c>
      <c r="K90" s="12">
        <v>0</v>
      </c>
      <c r="L90" s="12">
        <v>0</v>
      </c>
      <c r="M90" s="13">
        <v>0</v>
      </c>
      <c r="N90" s="34">
        <v>5.7471262286351221</v>
      </c>
      <c r="O90" s="34">
        <v>64.639309743394449</v>
      </c>
      <c r="P90" s="34">
        <v>85.966617449602097</v>
      </c>
      <c r="Q90" s="34">
        <v>-103.25874946504116</v>
      </c>
      <c r="R90" s="34">
        <v>61.301742557863477</v>
      </c>
      <c r="S90" s="34">
        <v>-14.395758023421559</v>
      </c>
      <c r="T90" s="12">
        <v>-2.1947938273925161E-5</v>
      </c>
      <c r="U90" s="12">
        <v>490.94541634936434</v>
      </c>
      <c r="V90" s="12">
        <v>-887.31895866237312</v>
      </c>
      <c r="W90" s="12">
        <v>658.32009945639766</v>
      </c>
      <c r="X90" s="12">
        <v>-153.07094763616394</v>
      </c>
      <c r="Y90" s="12">
        <v>-17.272983997011348</v>
      </c>
      <c r="Z90" s="13">
        <v>5.5630061694955657E-6</v>
      </c>
      <c r="AA90" s="13">
        <v>591.69728540737935</v>
      </c>
      <c r="AB90" s="13">
        <v>-1526.7448712712369</v>
      </c>
      <c r="AC90" s="13">
        <v>1947.2346417016233</v>
      </c>
      <c r="AD90" s="13">
        <v>-1221.7082256311503</v>
      </c>
      <c r="AE90" s="13">
        <v>301.41345390364938</v>
      </c>
      <c r="AF90" s="14">
        <v>4.6059999999999999</v>
      </c>
      <c r="AG90" s="14">
        <v>3600</v>
      </c>
      <c r="AH90" s="14">
        <v>700</v>
      </c>
      <c r="AI90" s="15" t="s">
        <v>39</v>
      </c>
      <c r="AJ90" s="16"/>
    </row>
    <row r="91" spans="1:36" x14ac:dyDescent="0.3">
      <c r="A91" s="32" t="s">
        <v>36</v>
      </c>
      <c r="B91" s="33" t="s">
        <v>48</v>
      </c>
      <c r="C91" s="32" t="s">
        <v>51</v>
      </c>
      <c r="D91" s="10">
        <v>25.045931758530184</v>
      </c>
      <c r="E91" s="11">
        <v>324</v>
      </c>
      <c r="F91" s="11">
        <v>3261</v>
      </c>
      <c r="G91" s="11">
        <v>54.2</v>
      </c>
      <c r="H91" s="12">
        <v>3600</v>
      </c>
      <c r="I91" s="12">
        <v>0</v>
      </c>
      <c r="J91" s="12">
        <v>0</v>
      </c>
      <c r="K91" s="12">
        <v>0</v>
      </c>
      <c r="L91" s="12">
        <v>0</v>
      </c>
      <c r="M91" s="13">
        <v>0</v>
      </c>
      <c r="N91" s="34">
        <v>5.5350551500877083</v>
      </c>
      <c r="O91" s="34">
        <v>65.94413226209268</v>
      </c>
      <c r="P91" s="34">
        <v>82.794417543692504</v>
      </c>
      <c r="Q91" s="34">
        <v>-99.448463506886668</v>
      </c>
      <c r="R91" s="34">
        <v>59.039685636882773</v>
      </c>
      <c r="S91" s="34">
        <v>-13.864549240262134</v>
      </c>
      <c r="T91" s="12">
        <v>-1.5973179920081293E-5</v>
      </c>
      <c r="U91" s="12">
        <v>461.63513354276682</v>
      </c>
      <c r="V91" s="12">
        <v>-771.6911242846187</v>
      </c>
      <c r="W91" s="12">
        <v>459.03659043101766</v>
      </c>
      <c r="X91" s="12">
        <v>8.7524435243218548</v>
      </c>
      <c r="Y91" s="12">
        <v>-67.605838601251193</v>
      </c>
      <c r="Z91" s="13">
        <v>5.5666279195065727E-6</v>
      </c>
      <c r="AA91" s="13">
        <v>592.31256141785389</v>
      </c>
      <c r="AB91" s="13">
        <v>-1528.2406904149061</v>
      </c>
      <c r="AC91" s="13">
        <v>1949.031343942396</v>
      </c>
      <c r="AD91" s="13">
        <v>-1222.7748759517197</v>
      </c>
      <c r="AE91" s="13">
        <v>301.66394009327519</v>
      </c>
      <c r="AF91" s="14">
        <v>4.6059999999999999</v>
      </c>
      <c r="AG91" s="14">
        <v>3600</v>
      </c>
      <c r="AH91" s="14">
        <v>700</v>
      </c>
      <c r="AI91" s="15" t="s">
        <v>39</v>
      </c>
      <c r="AJ91" s="16"/>
    </row>
    <row r="92" spans="1:36" x14ac:dyDescent="0.3">
      <c r="A92" s="32" t="s">
        <v>36</v>
      </c>
      <c r="B92" s="33" t="s">
        <v>48</v>
      </c>
      <c r="C92" s="32" t="s">
        <v>51</v>
      </c>
      <c r="D92" s="10">
        <v>22.6</v>
      </c>
      <c r="E92" s="11">
        <v>370</v>
      </c>
      <c r="F92" s="11">
        <v>3360</v>
      </c>
      <c r="G92" s="11">
        <v>57.1</v>
      </c>
      <c r="H92" s="12">
        <v>3600</v>
      </c>
      <c r="I92" s="12">
        <v>0</v>
      </c>
      <c r="J92" s="12">
        <v>0</v>
      </c>
      <c r="K92" s="12">
        <v>0</v>
      </c>
      <c r="L92" s="12">
        <v>0</v>
      </c>
      <c r="M92" s="13">
        <v>0</v>
      </c>
      <c r="N92" s="34">
        <v>5.5350551500877083</v>
      </c>
      <c r="O92" s="34">
        <v>65.94413226209268</v>
      </c>
      <c r="P92" s="34">
        <v>82.794417543692504</v>
      </c>
      <c r="Q92" s="34">
        <v>-99.448463506886668</v>
      </c>
      <c r="R92" s="34">
        <v>59.039685636882773</v>
      </c>
      <c r="S92" s="34">
        <v>-13.864549240262134</v>
      </c>
      <c r="T92" s="12">
        <v>-1.5973179920081293E-5</v>
      </c>
      <c r="U92" s="12">
        <v>461.63513354276682</v>
      </c>
      <c r="V92" s="12">
        <v>-771.6911242846187</v>
      </c>
      <c r="W92" s="12">
        <v>459.03659043101766</v>
      </c>
      <c r="X92" s="12">
        <v>8.7524435243218548</v>
      </c>
      <c r="Y92" s="12">
        <v>-67.605838601251193</v>
      </c>
      <c r="Z92" s="13">
        <v>5.5666279195065727E-6</v>
      </c>
      <c r="AA92" s="13">
        <v>592.31256141785389</v>
      </c>
      <c r="AB92" s="13">
        <v>-1528.2406904149061</v>
      </c>
      <c r="AC92" s="13">
        <v>1949.031343942396</v>
      </c>
      <c r="AD92" s="13">
        <v>-1222.7748759517197</v>
      </c>
      <c r="AE92" s="13">
        <v>301.66394009327519</v>
      </c>
      <c r="AF92" s="14">
        <v>4.6059999999999999</v>
      </c>
      <c r="AG92" s="14">
        <v>3600</v>
      </c>
      <c r="AH92" s="14">
        <v>700</v>
      </c>
      <c r="AI92" s="15" t="s">
        <v>39</v>
      </c>
      <c r="AJ92" s="16"/>
    </row>
    <row r="93" spans="1:36" x14ac:dyDescent="0.3">
      <c r="A93" s="32" t="s">
        <v>36</v>
      </c>
      <c r="B93" s="33" t="s">
        <v>48</v>
      </c>
      <c r="C93" s="32" t="s">
        <v>51</v>
      </c>
      <c r="D93" s="10">
        <v>24.9</v>
      </c>
      <c r="E93" s="11">
        <v>402</v>
      </c>
      <c r="F93" s="11">
        <v>3870</v>
      </c>
      <c r="G93" s="11">
        <v>67</v>
      </c>
      <c r="H93" s="12">
        <v>3600</v>
      </c>
      <c r="I93" s="12">
        <v>0</v>
      </c>
      <c r="J93" s="12">
        <v>0</v>
      </c>
      <c r="K93" s="12">
        <v>0</v>
      </c>
      <c r="L93" s="12">
        <v>0</v>
      </c>
      <c r="M93" s="13">
        <v>0</v>
      </c>
      <c r="N93" s="34">
        <v>5.5350551500877083</v>
      </c>
      <c r="O93" s="34">
        <v>65.94413226209268</v>
      </c>
      <c r="P93" s="34">
        <v>82.794417543692504</v>
      </c>
      <c r="Q93" s="34">
        <v>-99.448463506886668</v>
      </c>
      <c r="R93" s="34">
        <v>59.039685636882773</v>
      </c>
      <c r="S93" s="34">
        <v>-13.864549240262134</v>
      </c>
      <c r="T93" s="12">
        <v>-1.5973179920081293E-5</v>
      </c>
      <c r="U93" s="12">
        <v>461.63513354276682</v>
      </c>
      <c r="V93" s="12">
        <v>-771.6911242846187</v>
      </c>
      <c r="W93" s="12">
        <v>459.03659043101766</v>
      </c>
      <c r="X93" s="12">
        <v>8.7524435243218548</v>
      </c>
      <c r="Y93" s="12">
        <v>-67.605838601251193</v>
      </c>
      <c r="Z93" s="13">
        <v>5.5666279195065727E-6</v>
      </c>
      <c r="AA93" s="13">
        <v>592.31256141785389</v>
      </c>
      <c r="AB93" s="13">
        <v>-1528.2406904149061</v>
      </c>
      <c r="AC93" s="13">
        <v>1949.031343942396</v>
      </c>
      <c r="AD93" s="13">
        <v>-1222.7748759517197</v>
      </c>
      <c r="AE93" s="13">
        <v>301.66394009327519</v>
      </c>
      <c r="AF93" s="14">
        <v>4.6059999999999999</v>
      </c>
      <c r="AG93" s="14">
        <v>3600</v>
      </c>
      <c r="AH93" s="14">
        <v>700</v>
      </c>
      <c r="AI93" s="15" t="s">
        <v>39</v>
      </c>
      <c r="AJ93" s="16"/>
    </row>
    <row r="94" spans="1:36" x14ac:dyDescent="0.3">
      <c r="A94" s="8" t="s">
        <v>36</v>
      </c>
      <c r="B94" s="9" t="s">
        <v>37</v>
      </c>
      <c r="C94" s="17" t="s">
        <v>52</v>
      </c>
      <c r="D94" s="10">
        <v>102</v>
      </c>
      <c r="E94" s="11">
        <v>1173</v>
      </c>
      <c r="F94" s="11">
        <v>4362</v>
      </c>
      <c r="G94" s="11">
        <v>160.80000000000001</v>
      </c>
      <c r="H94" s="12">
        <v>3497</v>
      </c>
      <c r="I94" s="12">
        <v>-63.32</v>
      </c>
      <c r="J94" s="12">
        <v>-44.244999999999997</v>
      </c>
      <c r="K94" s="12">
        <v>705.63</v>
      </c>
      <c r="L94" s="12">
        <v>-1034.9000000000001</v>
      </c>
      <c r="M94" s="13">
        <v>418.1</v>
      </c>
      <c r="N94" s="12">
        <v>40.698999999999998</v>
      </c>
      <c r="O94" s="12">
        <v>42.497999999999998</v>
      </c>
      <c r="P94" s="12">
        <v>23.943999999999999</v>
      </c>
      <c r="Q94" s="12">
        <v>-64.594999999999999</v>
      </c>
      <c r="R94" s="12">
        <v>99.617999999999995</v>
      </c>
      <c r="S94" s="12">
        <v>-42.015999999999998</v>
      </c>
      <c r="T94" s="12">
        <v>124.23</v>
      </c>
      <c r="U94" s="12">
        <v>-275.95999999999998</v>
      </c>
      <c r="V94" s="12">
        <v>801.35</v>
      </c>
      <c r="W94" s="12">
        <v>-1121.7</v>
      </c>
      <c r="X94" s="13">
        <v>720.12</v>
      </c>
      <c r="Y94" s="12">
        <v>-166.88</v>
      </c>
      <c r="Z94" s="13">
        <v>95.379000000000005</v>
      </c>
      <c r="AA94" s="13">
        <v>-94.293999999999997</v>
      </c>
      <c r="AB94" s="13">
        <v>361.45</v>
      </c>
      <c r="AC94" s="13">
        <v>-611.59</v>
      </c>
      <c r="AD94" s="13">
        <v>493.84</v>
      </c>
      <c r="AE94" s="13">
        <v>-156.4</v>
      </c>
      <c r="AF94" s="14">
        <v>5.62</v>
      </c>
      <c r="AG94" s="14">
        <v>3495</v>
      </c>
      <c r="AH94" s="14">
        <v>1250</v>
      </c>
      <c r="AI94" s="15" t="s">
        <v>53</v>
      </c>
      <c r="AJ94" s="16"/>
    </row>
    <row r="95" spans="1:36" x14ac:dyDescent="0.3">
      <c r="A95" s="8" t="s">
        <v>36</v>
      </c>
      <c r="B95" s="9" t="s">
        <v>40</v>
      </c>
      <c r="C95" s="9" t="s">
        <v>38</v>
      </c>
      <c r="D95" s="10">
        <v>31</v>
      </c>
      <c r="E95" s="11">
        <v>173</v>
      </c>
      <c r="F95" s="11">
        <v>2347</v>
      </c>
      <c r="G95" s="11">
        <v>46.2</v>
      </c>
      <c r="H95" s="12">
        <v>2678.183</v>
      </c>
      <c r="I95" s="12">
        <v>5485.6890000000003</v>
      </c>
      <c r="J95" s="12">
        <v>-14259.41</v>
      </c>
      <c r="K95" s="12">
        <v>17906.57</v>
      </c>
      <c r="L95" s="12">
        <v>-11160.13</v>
      </c>
      <c r="M95" s="13">
        <v>2764.1779999999999</v>
      </c>
      <c r="N95" s="12">
        <v>-55.941200000000002</v>
      </c>
      <c r="O95" s="12">
        <v>543.31500000000005</v>
      </c>
      <c r="P95" s="12">
        <v>-1224.143</v>
      </c>
      <c r="Q95" s="12">
        <v>1669.547</v>
      </c>
      <c r="R95" s="12">
        <v>-1144.998</v>
      </c>
      <c r="S95" s="12">
        <v>312.10919999999999</v>
      </c>
      <c r="T95" s="12">
        <v>288.95920000000001</v>
      </c>
      <c r="U95" s="12">
        <v>-1608.942</v>
      </c>
      <c r="V95" s="12">
        <v>4733.8590000000004</v>
      </c>
      <c r="W95" s="12">
        <v>-6670.8010000000004</v>
      </c>
      <c r="X95" s="13">
        <v>4530.63</v>
      </c>
      <c r="Y95" s="12">
        <v>-1193.3420000000001</v>
      </c>
      <c r="Z95" s="13">
        <v>-53.766300000000001</v>
      </c>
      <c r="AA95" s="13">
        <v>701.77340000000004</v>
      </c>
      <c r="AB95" s="13">
        <v>-1267.423</v>
      </c>
      <c r="AC95" s="13">
        <v>934.89400000000001</v>
      </c>
      <c r="AD95" s="13">
        <v>-181.85579999999999</v>
      </c>
      <c r="AE95" s="13">
        <v>-49.545999999999999</v>
      </c>
      <c r="AF95" s="14">
        <v>4.5599999999999996</v>
      </c>
      <c r="AG95" s="14">
        <v>3500</v>
      </c>
      <c r="AH95" s="14">
        <v>450</v>
      </c>
      <c r="AI95" s="15" t="s">
        <v>39</v>
      </c>
      <c r="AJ95" s="16"/>
    </row>
    <row r="96" spans="1:36" x14ac:dyDescent="0.3">
      <c r="A96" s="8" t="s">
        <v>36</v>
      </c>
      <c r="B96" s="17" t="s">
        <v>40</v>
      </c>
      <c r="C96" s="17" t="s">
        <v>43</v>
      </c>
      <c r="D96" s="10">
        <v>31</v>
      </c>
      <c r="E96" s="11">
        <v>412</v>
      </c>
      <c r="F96" s="11">
        <f>1678*2</f>
        <v>3356</v>
      </c>
      <c r="G96" s="11">
        <v>78.5</v>
      </c>
      <c r="H96" s="12">
        <v>3546.2272727272298</v>
      </c>
      <c r="I96" s="12">
        <v>236.12500000040501</v>
      </c>
      <c r="J96" s="12">
        <v>-1133.9233682997501</v>
      </c>
      <c r="K96" s="12">
        <v>1748.61596736811</v>
      </c>
      <c r="L96" s="12">
        <v>-1316.2878787894199</v>
      </c>
      <c r="M96" s="13">
        <v>368.58974359016202</v>
      </c>
      <c r="N96" s="12">
        <v>33.045454545453801</v>
      </c>
      <c r="O96" s="12">
        <v>58.639277389283698</v>
      </c>
      <c r="P96" s="12">
        <v>4.18123543121499</v>
      </c>
      <c r="Q96" s="12">
        <v>3.2051282051591401</v>
      </c>
      <c r="R96" s="12">
        <v>1.4568764568543</v>
      </c>
      <c r="S96" s="12">
        <v>6.0492590746374096E-12</v>
      </c>
      <c r="T96" s="12">
        <v>42.231818181816102</v>
      </c>
      <c r="U96" s="12">
        <v>-61.005944055924999</v>
      </c>
      <c r="V96" s="12">
        <v>624.51631701625797</v>
      </c>
      <c r="W96" s="12">
        <v>-1125.14568764561</v>
      </c>
      <c r="X96" s="13">
        <v>811.77156177151096</v>
      </c>
      <c r="Y96" s="12">
        <v>-211.53846153845001</v>
      </c>
      <c r="Z96" s="13">
        <v>6.66818181818204</v>
      </c>
      <c r="AA96" s="13">
        <v>174.41488927738601</v>
      </c>
      <c r="AB96" s="13">
        <v>88.814831002346907</v>
      </c>
      <c r="AC96" s="13">
        <v>-562.33245920749198</v>
      </c>
      <c r="AD96" s="13">
        <v>540.42832167835002</v>
      </c>
      <c r="AE96" s="13">
        <v>-165.06410256411201</v>
      </c>
      <c r="AF96" s="14">
        <v>4.5599999999999996</v>
      </c>
      <c r="AG96" s="14">
        <v>3500</v>
      </c>
      <c r="AH96" s="14">
        <v>450</v>
      </c>
      <c r="AI96" s="15" t="s">
        <v>39</v>
      </c>
      <c r="AJ96" s="16"/>
    </row>
  </sheetData>
  <dataValidations count="4">
    <dataValidation type="list" allowBlank="1" showInputMessage="1" showErrorMessage="1" prompt="S for Single_x000a_D for Double_x000a_T for Triple" sqref="AI2:AI96" xr:uid="{6BCB3DB5-A359-47D1-A691-CA29ADFC352C}">
      <formula1>$A$1027:$A$1030</formula1>
    </dataValidation>
    <dataValidation type="list" allowBlank="1" showInputMessage="1" showErrorMessage="1" prompt="Enter 1 for obsolete" sqref="AJ2:AJ96" xr:uid="{F8FA8743-C36B-4BF1-A36C-F9DF6B497CA3}">
      <formula1>$A$998:$A$999</formula1>
    </dataValidation>
    <dataValidation type="list" allowBlank="1" showInputMessage="1" promptTitle="Manufacturer Name" prompt="Select a manufacturer from the list, or enter a new manufacturer using a short name" sqref="A2:A96" xr:uid="{1730D06A-6D5C-4F94-86F3-DF3AC8096F8A}">
      <formula1>$A$1007:$A$1019</formula1>
    </dataValidation>
    <dataValidation allowBlank="1" showInputMessage="1" showErrorMessage="1" promptTitle="Important Notice:" prompt="-------_x000a_If a manufacturer is not in SubPUMP databank, this field is required._x000a_-------_x000a_Manufacturers in SubPUMP:_x000a_Almaz, Alnas, Borets, CAI, Centrilift/ODI or CLift, ESP, Lemaz, Novomet, Novo, ODI, Schlumberger/Reda or Reda, Weatherford or Wford, WSP" sqref="AF2:AF96" xr:uid="{F19D03AD-EBAF-48C9-BCB0-829A274C615B}"/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Pump</vt:lpstr>
      <vt:lpstr>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gomez</dc:creator>
  <cp:lastModifiedBy>Luis gomez</cp:lastModifiedBy>
  <dcterms:created xsi:type="dcterms:W3CDTF">2015-06-05T18:17:20Z</dcterms:created>
  <dcterms:modified xsi:type="dcterms:W3CDTF">2026-06-30T21:44:47Z</dcterms:modified>
</cp:coreProperties>
</file>